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_main" sheetId="1" state="visible" r:id="rId1"/>
    <sheet name="concentration_review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膜类型</t>
        </is>
      </c>
      <c r="B1" t="inlineStr">
        <is>
          <t>样品编号</t>
        </is>
      </c>
      <c r="C1" t="inlineStr">
        <is>
          <t>膜材料</t>
        </is>
      </c>
      <c r="D1" t="inlineStr">
        <is>
          <t>制备方法</t>
        </is>
      </c>
      <c r="E1" t="inlineStr">
        <is>
          <t>水相单体</t>
        </is>
      </c>
      <c r="F1" t="inlineStr">
        <is>
          <t>水相单体浓度</t>
        </is>
      </c>
      <c r="G1" t="inlineStr">
        <is>
          <t>水相单体浓度_单位</t>
        </is>
      </c>
      <c r="H1" t="inlineStr">
        <is>
          <t>水相单体浓度_wt%</t>
        </is>
      </c>
      <c r="I1" t="inlineStr">
        <is>
          <t>水相单体浓度_wt%_status</t>
        </is>
      </c>
      <c r="J1" t="inlineStr">
        <is>
          <t>油相单体</t>
        </is>
      </c>
      <c r="K1" t="inlineStr">
        <is>
          <t>油相单体浓度</t>
        </is>
      </c>
      <c r="L1" t="inlineStr">
        <is>
          <t>油相单体浓度_单位</t>
        </is>
      </c>
      <c r="M1" t="inlineStr">
        <is>
          <t>油相单体浓度_wt%</t>
        </is>
      </c>
      <c r="N1" t="inlineStr">
        <is>
          <t>油相单体浓度_wt%_status</t>
        </is>
      </c>
      <c r="O1" t="inlineStr">
        <is>
          <t>有机溶剂</t>
        </is>
      </c>
      <c r="P1" t="inlineStr">
        <is>
          <t>基底</t>
        </is>
      </c>
      <c r="Q1" t="inlineStr">
        <is>
          <t>pH/碱度</t>
        </is>
      </c>
      <c r="R1" t="inlineStr">
        <is>
          <t>pH/碱度_单位</t>
        </is>
      </c>
      <c r="S1" t="inlineStr">
        <is>
          <t>添加剂</t>
        </is>
      </c>
      <c r="T1" t="inlineStr">
        <is>
          <t>添加剂浓度</t>
        </is>
      </c>
      <c r="U1" t="inlineStr">
        <is>
          <t>添加剂浓度_单位</t>
        </is>
      </c>
      <c r="V1" t="inlineStr">
        <is>
          <t>添加剂浓度_wt%</t>
        </is>
      </c>
      <c r="W1" t="inlineStr">
        <is>
          <t>添加剂浓度_wt%_status</t>
        </is>
      </c>
      <c r="X1" t="inlineStr">
        <is>
          <t>界面聚合时间</t>
        </is>
      </c>
      <c r="Y1" t="inlineStr">
        <is>
          <t>界面聚合时间_单位</t>
        </is>
      </c>
      <c r="Z1" t="inlineStr">
        <is>
          <t>反应温度</t>
        </is>
      </c>
      <c r="AA1" t="inlineStr">
        <is>
          <t>反应温度_单位</t>
        </is>
      </c>
      <c r="AB1" t="inlineStr">
        <is>
          <t>固化温度</t>
        </is>
      </c>
      <c r="AC1" t="inlineStr">
        <is>
          <t>固化温度_单位</t>
        </is>
      </c>
      <c r="AD1" t="inlineStr">
        <is>
          <t>固化时间</t>
        </is>
      </c>
      <c r="AE1" t="inlineStr">
        <is>
          <t>固化时间_单位</t>
        </is>
      </c>
      <c r="AF1" t="inlineStr">
        <is>
          <t>改性剂</t>
        </is>
      </c>
      <c r="AG1" t="inlineStr">
        <is>
          <t>改性剂浓度</t>
        </is>
      </c>
      <c r="AH1" t="inlineStr">
        <is>
          <t>改性剂浓度_单位</t>
        </is>
      </c>
      <c r="AI1" t="inlineStr">
        <is>
          <t>改性剂浓度_wt%</t>
        </is>
      </c>
      <c r="AJ1" t="inlineStr">
        <is>
          <t>改性剂浓度_wt%_status</t>
        </is>
      </c>
      <c r="AK1" t="inlineStr">
        <is>
          <t>改性时间</t>
        </is>
      </c>
      <c r="AL1" t="inlineStr">
        <is>
          <t>改性时间_单位</t>
        </is>
      </c>
      <c r="AM1" t="inlineStr">
        <is>
          <t>膜厚度</t>
        </is>
      </c>
      <c r="AN1" t="inlineStr">
        <is>
          <t>膜厚度_单位</t>
        </is>
      </c>
      <c r="AO1" t="inlineStr">
        <is>
          <t>粗糙度</t>
        </is>
      </c>
      <c r="AP1" t="inlineStr">
        <is>
          <t>粗糙度_单位</t>
        </is>
      </c>
      <c r="AQ1" t="inlineStr">
        <is>
          <t>交联度</t>
        </is>
      </c>
      <c r="AR1" t="inlineStr">
        <is>
          <t>交联度_单位</t>
        </is>
      </c>
      <c r="AS1" t="inlineStr">
        <is>
          <t>孔径</t>
        </is>
      </c>
      <c r="AT1" t="inlineStr">
        <is>
          <t>孔径_单位</t>
        </is>
      </c>
      <c r="AU1" t="inlineStr">
        <is>
          <t>表面官能团</t>
        </is>
      </c>
      <c r="AV1" t="inlineStr">
        <is>
          <t>表面Zeta电位</t>
        </is>
      </c>
      <c r="AW1" t="inlineStr">
        <is>
          <t>表面Zeta电位_单位</t>
        </is>
      </c>
      <c r="AX1" t="inlineStr">
        <is>
          <t>接触角</t>
        </is>
      </c>
      <c r="AY1" t="inlineStr">
        <is>
          <t>接触角_单位</t>
        </is>
      </c>
      <c r="AZ1" t="inlineStr">
        <is>
          <t>水通量</t>
        </is>
      </c>
      <c r="BA1" t="inlineStr">
        <is>
          <t>水通量_单位</t>
        </is>
      </c>
      <c r="BB1" t="inlineStr">
        <is>
          <t>盐截留</t>
        </is>
      </c>
      <c r="BC1" t="inlineStr">
        <is>
          <t>盐截留_单位</t>
        </is>
      </c>
      <c r="BD1" t="inlineStr">
        <is>
          <t>测试NaCl浓度</t>
        </is>
      </c>
      <c r="BE1" t="inlineStr">
        <is>
          <t>测试NaCl浓度_单位</t>
        </is>
      </c>
      <c r="BF1" t="inlineStr">
        <is>
          <t>测试NaCl浓度_wt%</t>
        </is>
      </c>
      <c r="BG1" t="inlineStr">
        <is>
          <t>测试NaCl浓度_wt%_status</t>
        </is>
      </c>
      <c r="BH1" t="inlineStr">
        <is>
          <t>通量衰减率</t>
        </is>
      </c>
      <c r="BI1" t="inlineStr">
        <is>
          <t>通量衰减率_单位</t>
        </is>
      </c>
      <c r="BJ1" t="inlineStr">
        <is>
          <t>测试压力</t>
        </is>
      </c>
      <c r="BK1" t="inlineStr">
        <is>
          <t>测试压力_单位</t>
        </is>
      </c>
      <c r="BL1" t="inlineStr">
        <is>
          <t>过滤模式</t>
        </is>
      </c>
      <c r="BM1" t="inlineStr">
        <is>
          <t>文件名称</t>
        </is>
      </c>
      <c r="BN1" t="inlineStr">
        <is>
          <t>发表年份</t>
        </is>
      </c>
      <c r="BO1" t="inlineStr">
        <is>
          <t>DOI</t>
        </is>
      </c>
      <c r="BP1" t="inlineStr">
        <is>
          <t>原始_溶质类型</t>
        </is>
      </c>
      <c r="BQ1" t="inlineStr">
        <is>
          <t>标准_溶质类型</t>
        </is>
      </c>
      <c r="BR1" t="inlineStr">
        <is>
          <t>标准_性能数值</t>
        </is>
      </c>
      <c r="BS1" t="inlineStr">
        <is>
          <t>标准_性能单位</t>
        </is>
      </c>
      <c r="BT1" t="inlineStr">
        <is>
          <t>性能数据类型</t>
        </is>
      </c>
      <c r="BU1" t="inlineStr">
        <is>
          <t>标准_IP时间(s)</t>
        </is>
      </c>
      <c r="BV1" t="inlineStr">
        <is>
          <t>论文题目</t>
        </is>
      </c>
    </row>
    <row r="2">
      <c r="A2" t="inlineStr">
        <is>
          <t>RO</t>
        </is>
      </c>
      <c r="B2" t="inlineStr">
        <is>
          <t>PMA-GO/RO_Run3</t>
        </is>
      </c>
      <c r="C2" t="inlineStr">
        <is>
          <t>PMA-GO modified Polyamide</t>
        </is>
      </c>
      <c r="D2" t="inlineStr">
        <is>
          <t>MA polymerization on GO functionalized RO membrane (Microwave-assisted)</t>
        </is>
      </c>
      <c r="E2" t="inlineStr">
        <is>
          <t>Maleic acid</t>
        </is>
      </c>
      <c r="F2" t="n">
        <v>17</v>
      </c>
      <c r="G2" t="inlineStr">
        <is>
          <t>mg/L</t>
        </is>
      </c>
      <c r="H2" t="inlineStr"/>
      <c r="I2" t="inlineStr">
        <is>
          <t>NEED_TRACEBACK</t>
        </is>
      </c>
      <c r="J2" t="inlineStr"/>
      <c r="K2" t="inlineStr"/>
      <c r="L2" t="inlineStr"/>
      <c r="M2" t="inlineStr"/>
      <c r="N2" t="inlineStr"/>
      <c r="O2" t="inlineStr"/>
      <c r="P2" t="inlineStr">
        <is>
          <t>Polyamide/Polysulfone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9</v>
      </c>
      <c r="Y2" t="inlineStr">
        <is>
          <t>s</t>
        </is>
      </c>
      <c r="Z2" t="inlineStr"/>
      <c r="AA2" t="inlineStr"/>
      <c r="AB2" t="n">
        <v>70</v>
      </c>
      <c r="AC2" t="inlineStr">
        <is>
          <t>℃</t>
        </is>
      </c>
      <c r="AD2" t="n">
        <v>5</v>
      </c>
      <c r="AE2" t="inlineStr">
        <is>
          <t>min</t>
        </is>
      </c>
      <c r="AF2" t="inlineStr">
        <is>
          <t>Graphene oxide; Polymaleic acid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44.77</v>
      </c>
      <c r="AP2" t="inlineStr">
        <is>
          <t>nm</t>
        </is>
      </c>
      <c r="AQ2" t="inlineStr"/>
      <c r="AR2" t="inlineStr"/>
      <c r="AS2" t="inlineStr"/>
      <c r="AT2" t="inlineStr"/>
      <c r="AU2" t="inlineStr">
        <is>
          <t>C=O; -OH; C-H</t>
        </is>
      </c>
      <c r="AV2" t="inlineStr"/>
      <c r="AW2" t="inlineStr"/>
      <c r="AX2" t="n">
        <v>18</v>
      </c>
      <c r="AY2" t="inlineStr">
        <is>
          <t>°</t>
        </is>
      </c>
      <c r="AZ2" t="n">
        <v>2.75</v>
      </c>
      <c r="BA2" t="inlineStr">
        <is>
          <t>L/(m²·h·bar)</t>
        </is>
      </c>
      <c r="BB2" t="n">
        <v>96.5</v>
      </c>
      <c r="BC2" t="inlineStr">
        <is>
          <t>%</t>
        </is>
      </c>
      <c r="BD2" t="n">
        <v>1</v>
      </c>
      <c r="BE2" t="inlineStr">
        <is>
          <t>g/L</t>
        </is>
      </c>
      <c r="BF2" t="inlineStr">
        <is>
          <t>0.1</t>
        </is>
      </c>
      <c r="BG2" t="inlineStr">
        <is>
          <t>SAFE_CONVERTED</t>
        </is>
      </c>
      <c r="BH2" t="inlineStr"/>
      <c r="BI2" t="inlineStr"/>
      <c r="BJ2" t="n">
        <v>25</v>
      </c>
      <c r="BK2" t="inlineStr">
        <is>
          <t>bar</t>
        </is>
      </c>
      <c r="BL2" t="inlineStr">
        <is>
          <t>Cross-flow</t>
        </is>
      </c>
      <c r="BM2" t="inlineStr">
        <is>
          <t>10.1016_j.desal.2023.116372.pdf</t>
        </is>
      </c>
      <c r="BN2" t="n">
        <v>2023</v>
      </c>
      <c r="BO2" t="inlineStr">
        <is>
          <t>10.1016/j.desal.2023.116372</t>
        </is>
      </c>
      <c r="BP2" t="inlineStr">
        <is>
          <t>NaCl</t>
        </is>
      </c>
      <c r="BQ2" t="inlineStr">
        <is>
          <t>NaCl</t>
        </is>
      </c>
      <c r="BR2" t="n">
        <v>0.11</v>
      </c>
      <c r="BS2" t="inlineStr">
        <is>
          <t>L/(m²·h·bar)</t>
        </is>
      </c>
      <c r="BT2" t="inlineStr">
        <is>
          <t>渗透系数(Permeance)</t>
        </is>
      </c>
      <c r="BU2" t="n">
        <v>9</v>
      </c>
      <c r="BV2" t="inlineStr">
        <is>
          <t>Effect of polymaleic acid and microwave radiations on reverse osmosis membrane's performance and properties: A response surface methodology approach</t>
        </is>
      </c>
    </row>
    <row r="3">
      <c r="A3" t="inlineStr">
        <is>
          <t>RO</t>
        </is>
      </c>
      <c r="B3" t="inlineStr">
        <is>
          <t>mm-BTEC</t>
        </is>
      </c>
      <c r="C3" t="inlineStr">
        <is>
          <t>Polyamide</t>
        </is>
      </c>
      <c r="D3" t="inlineStr">
        <is>
          <t>Interfacial polymerization (IP)</t>
        </is>
      </c>
      <c r="E3" t="inlineStr">
        <is>
          <t>MPDA</t>
        </is>
      </c>
      <c r="F3" t="n">
        <v>2</v>
      </c>
      <c r="G3" t="inlineStr">
        <is>
          <t>w/v</t>
        </is>
      </c>
      <c r="H3" t="inlineStr">
        <is>
          <t>0.02</t>
        </is>
      </c>
      <c r="I3" t="inlineStr">
        <is>
          <t>SAFE_CONVERTED</t>
        </is>
      </c>
      <c r="J3" t="inlineStr">
        <is>
          <t>mm-BTEC</t>
        </is>
      </c>
      <c r="K3" t="n">
        <v>0.1</v>
      </c>
      <c r="L3" t="inlineStr">
        <is>
          <t>w/v</t>
        </is>
      </c>
      <c r="M3" t="inlineStr"/>
      <c r="N3" t="inlineStr">
        <is>
          <t>NEED_TRACEBACK</t>
        </is>
      </c>
      <c r="O3" t="inlineStr">
        <is>
          <t>Cyclohexane</t>
        </is>
      </c>
      <c r="P3" t="inlineStr">
        <is>
          <t>Polysulfone</t>
        </is>
      </c>
      <c r="Q3" t="n">
        <v>10</v>
      </c>
      <c r="R3" t="inlineStr"/>
      <c r="S3" t="inlineStr">
        <is>
          <t>TEA;DSS</t>
        </is>
      </c>
      <c r="T3" t="inlineStr">
        <is>
          <t>1;0.05</t>
        </is>
      </c>
      <c r="U3" t="inlineStr">
        <is>
          <t>w/v</t>
        </is>
      </c>
      <c r="V3" t="inlineStr">
        <is>
          <t>;</t>
        </is>
      </c>
      <c r="W3" t="inlineStr">
        <is>
          <t>NEED_TRACEBACK;NEED_TRACEBACK</t>
        </is>
      </c>
      <c r="X3" t="n">
        <v>20</v>
      </c>
      <c r="Y3" t="inlineStr">
        <is>
          <t>s</t>
        </is>
      </c>
      <c r="Z3" t="inlineStr"/>
      <c r="AA3" t="inlineStr"/>
      <c r="AB3" t="n">
        <v>60</v>
      </c>
      <c r="AC3" t="inlineStr">
        <is>
          <t>℃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0.2</v>
      </c>
      <c r="AN3" t="inlineStr">
        <is>
          <t>µm</t>
        </is>
      </c>
      <c r="AO3" t="n">
        <v>147</v>
      </c>
      <c r="AP3" t="inlineStr">
        <is>
          <t>nm</t>
        </is>
      </c>
      <c r="AQ3" t="inlineStr"/>
      <c r="AR3" t="inlineStr"/>
      <c r="AS3" t="inlineStr"/>
      <c r="AT3" t="inlineStr"/>
      <c r="AU3" t="inlineStr">
        <is>
          <t>'-NHCO-;-COOH</t>
        </is>
      </c>
      <c r="AV3" t="inlineStr"/>
      <c r="AW3" t="inlineStr"/>
      <c r="AX3" t="n">
        <v>76</v>
      </c>
      <c r="AY3" t="inlineStr">
        <is>
          <t>°</t>
        </is>
      </c>
      <c r="AZ3" t="n">
        <v>31.7</v>
      </c>
      <c r="BA3" t="inlineStr">
        <is>
          <t>L/(m² h)</t>
        </is>
      </c>
      <c r="BB3" t="n">
        <v>98.40000000000001</v>
      </c>
      <c r="BC3" t="inlineStr">
        <is>
          <t>%</t>
        </is>
      </c>
      <c r="BD3" t="n">
        <v>2000</v>
      </c>
      <c r="BE3" t="inlineStr">
        <is>
          <t>ppm</t>
        </is>
      </c>
      <c r="BF3" t="inlineStr">
        <is>
          <t>0.2</t>
        </is>
      </c>
      <c r="BG3" t="inlineStr">
        <is>
          <t>ASSUMED_CONVERTED</t>
        </is>
      </c>
      <c r="BH3" t="inlineStr"/>
      <c r="BI3" t="inlineStr"/>
      <c r="BJ3" t="n">
        <v>2</v>
      </c>
      <c r="BK3" t="inlineStr">
        <is>
          <t>MPa</t>
        </is>
      </c>
      <c r="BL3" t="inlineStr">
        <is>
          <t>Cross-flow</t>
        </is>
      </c>
      <c r="BM3" t="inlineStr">
        <is>
          <t>10.1016_j.memsci.2008.02.022.pdf</t>
        </is>
      </c>
      <c r="BN3" t="n">
        <v>2008</v>
      </c>
      <c r="BO3" t="inlineStr">
        <is>
          <t>10.1016/j.memsci.2008.02.022</t>
        </is>
      </c>
      <c r="BP3" t="inlineStr">
        <is>
          <t>NaCl</t>
        </is>
      </c>
      <c r="BQ3" t="inlineStr">
        <is>
          <t>NaCl</t>
        </is>
      </c>
      <c r="BR3" t="n">
        <v>1.585</v>
      </c>
      <c r="BS3" t="inlineStr">
        <is>
          <t>L/(m²·h·bar)</t>
        </is>
      </c>
      <c r="BT3" t="inlineStr">
        <is>
          <t>渗透系数(Permeance)</t>
        </is>
      </c>
      <c r="BU3" t="n">
        <v>20</v>
      </c>
      <c r="BV3" t="inlineStr">
        <is>
          <t>Polyamide thin film composite membranes prepared from isomeric biphenyl tetraacyl chloride and m-phenylenediamine</t>
        </is>
      </c>
    </row>
    <row r="4">
      <c r="A4" t="inlineStr">
        <is>
          <t>RO</t>
        </is>
      </c>
      <c r="B4" t="inlineStr">
        <is>
          <t>LIP 2 cycles</t>
        </is>
      </c>
      <c r="C4" t="inlineStr">
        <is>
          <t>Polyamide</t>
        </is>
      </c>
      <c r="D4" t="inlineStr">
        <is>
          <t>Layered interfacial polymerization</t>
        </is>
      </c>
      <c r="E4" t="inlineStr">
        <is>
          <t>MPD</t>
        </is>
      </c>
      <c r="F4" t="n">
        <v>0.5</v>
      </c>
      <c r="G4" t="inlineStr">
        <is>
          <t>% by mass</t>
        </is>
      </c>
      <c r="H4" t="inlineStr">
        <is>
          <t>0.5</t>
        </is>
      </c>
      <c r="I4" t="inlineStr">
        <is>
          <t>DIRECT_WT</t>
        </is>
      </c>
      <c r="J4" t="inlineStr">
        <is>
          <t>TMC</t>
        </is>
      </c>
      <c r="K4" t="n">
        <v>0.05</v>
      </c>
      <c r="L4" t="inlineStr">
        <is>
          <t>% by mass</t>
        </is>
      </c>
      <c r="M4" t="inlineStr">
        <is>
          <t>0.05</t>
        </is>
      </c>
      <c r="N4" t="inlineStr">
        <is>
          <t>DIRECT_WT</t>
        </is>
      </c>
      <c r="O4" t="inlineStr">
        <is>
          <t>n-hexane</t>
        </is>
      </c>
      <c r="P4" t="inlineStr">
        <is>
          <t>Hydrolyzed PAN with PEI/PAA interlayer</t>
        </is>
      </c>
      <c r="Q4" t="inlineStr"/>
      <c r="R4" t="inlineStr"/>
      <c r="S4" t="inlineStr"/>
      <c r="T4" t="inlineStr"/>
      <c r="U4" t="inlineStr"/>
      <c r="V4" t="inlineStr"/>
      <c r="W4" t="inlineStr"/>
      <c r="X4" t="n">
        <v>1</v>
      </c>
      <c r="Y4" t="inlineStr">
        <is>
          <t>min</t>
        </is>
      </c>
      <c r="Z4" t="inlineStr"/>
      <c r="AA4" t="inlineStr"/>
      <c r="AB4" t="n">
        <v>70</v>
      </c>
      <c r="AC4" t="inlineStr">
        <is>
          <t>℃</t>
        </is>
      </c>
      <c r="AD4" t="n">
        <v>2</v>
      </c>
      <c r="AE4" t="inlineStr">
        <is>
          <t>min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~21</t>
        </is>
      </c>
      <c r="AN4" t="inlineStr">
        <is>
          <t>nm</t>
        </is>
      </c>
      <c r="AO4" t="inlineStr">
        <is>
          <t>~6</t>
        </is>
      </c>
      <c r="AP4" t="inlineStr">
        <is>
          <t>nm</t>
        </is>
      </c>
      <c r="AQ4" t="inlineStr"/>
      <c r="AR4" t="inlineStr"/>
      <c r="AS4" t="inlineStr"/>
      <c r="AT4" t="inlineStr"/>
      <c r="AU4" t="inlineStr">
        <is>
          <t>C=O;N-H</t>
        </is>
      </c>
      <c r="AV4" t="inlineStr"/>
      <c r="AW4" t="inlineStr"/>
      <c r="AX4" t="inlineStr"/>
      <c r="AY4" t="inlineStr"/>
      <c r="AZ4" t="n">
        <v>1.34</v>
      </c>
      <c r="BA4" t="inlineStr">
        <is>
          <t>L m⁻² h⁻¹ bar⁻¹</t>
        </is>
      </c>
      <c r="BB4" t="n">
        <v>99</v>
      </c>
      <c r="BC4" t="inlineStr">
        <is>
          <t>%</t>
        </is>
      </c>
      <c r="BD4" t="n">
        <v>2000</v>
      </c>
      <c r="BE4" t="inlineStr">
        <is>
          <t>ppm</t>
        </is>
      </c>
      <c r="BF4" t="inlineStr">
        <is>
          <t>0.2</t>
        </is>
      </c>
      <c r="BG4" t="inlineStr">
        <is>
          <t>ASSUMED_CONVERTED</t>
        </is>
      </c>
      <c r="BH4" t="inlineStr"/>
      <c r="BI4" t="inlineStr"/>
      <c r="BJ4" t="n">
        <v>15.5</v>
      </c>
      <c r="BK4" t="inlineStr">
        <is>
          <t>bar</t>
        </is>
      </c>
      <c r="BL4" t="inlineStr">
        <is>
          <t>Cross-flow</t>
        </is>
      </c>
      <c r="BM4" t="inlineStr">
        <is>
          <t>10.1016_j.memsci.2016.12.066.pdf</t>
        </is>
      </c>
      <c r="BN4" t="n">
        <v>2017</v>
      </c>
      <c r="BO4" t="inlineStr">
        <is>
          <t>10.1016/j.memsci.2016.12.066</t>
        </is>
      </c>
      <c r="BP4" t="inlineStr">
        <is>
          <t>NaCl</t>
        </is>
      </c>
      <c r="BQ4" t="inlineStr">
        <is>
          <t>NaCl</t>
        </is>
      </c>
      <c r="BR4" t="n">
        <v>0.08649999999999999</v>
      </c>
      <c r="BS4" t="inlineStr">
        <is>
          <t>L/(m²·h·bar)</t>
        </is>
      </c>
      <c r="BT4" t="inlineStr">
        <is>
          <t>渗透系数(Permeance)</t>
        </is>
      </c>
      <c r="BU4" t="n">
        <v>60</v>
      </c>
      <c r="BV4" t="inlineStr">
        <is>
          <t>Thin film composite reverse osmosis membranes prepared via layered interfacial polymerization</t>
        </is>
      </c>
    </row>
    <row r="5">
      <c r="A5" t="inlineStr">
        <is>
          <t>RO</t>
        </is>
      </c>
      <c r="B5" t="inlineStr">
        <is>
          <t>LIP 0 cycle</t>
        </is>
      </c>
      <c r="C5" t="inlineStr">
        <is>
          <t>PEI/PAA</t>
        </is>
      </c>
      <c r="D5" t="inlineStr">
        <is>
          <t>Polyelectrolyte multilayer deposition on hydrolyzed PAN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Hydrolyzed PAN</t>
        </is>
      </c>
      <c r="Q5" t="inlineStr"/>
      <c r="R5" t="inlineStr"/>
      <c r="S5" t="inlineStr">
        <is>
          <t>NaCl</t>
        </is>
      </c>
      <c r="T5" t="n">
        <v>0.5</v>
      </c>
      <c r="U5" t="inlineStr">
        <is>
          <t>M</t>
        </is>
      </c>
      <c r="V5" t="inlineStr">
        <is>
          <t>0.5</t>
        </is>
      </c>
      <c r="W5" t="inlineStr">
        <is>
          <t>DIRECT_WT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PEI;PAA</t>
        </is>
      </c>
      <c r="AG5" t="inlineStr">
        <is>
          <t>0.1;0.1</t>
        </is>
      </c>
      <c r="AH5" t="inlineStr">
        <is>
          <t>wt%;wt%</t>
        </is>
      </c>
      <c r="AI5" t="inlineStr">
        <is>
          <t>0.1;0.1</t>
        </is>
      </c>
      <c r="AJ5" t="inlineStr">
        <is>
          <t>DIRECT_WT;DIRECT_WT</t>
        </is>
      </c>
      <c r="AK5" t="inlineStr">
        <is>
          <t>15;10</t>
        </is>
      </c>
      <c r="AL5" t="inlineStr">
        <is>
          <t>min;min</t>
        </is>
      </c>
      <c r="AM5" t="inlineStr"/>
      <c r="AN5" t="inlineStr"/>
      <c r="AO5" t="inlineStr">
        <is>
          <t>~8.5</t>
        </is>
      </c>
      <c r="AP5" t="inlineStr">
        <is>
          <t>nm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7.23</v>
      </c>
      <c r="BA5" t="inlineStr">
        <is>
          <t>L m⁻² h⁻¹ bar⁻¹</t>
        </is>
      </c>
      <c r="BB5" t="n">
        <v>33.3</v>
      </c>
      <c r="BC5" t="inlineStr">
        <is>
          <t>%</t>
        </is>
      </c>
      <c r="BD5" t="n">
        <v>2000</v>
      </c>
      <c r="BE5" t="inlineStr">
        <is>
          <t>ppm</t>
        </is>
      </c>
      <c r="BF5" t="inlineStr">
        <is>
          <t>0.2</t>
        </is>
      </c>
      <c r="BG5" t="inlineStr">
        <is>
          <t>ASSUMED_CONVERTED</t>
        </is>
      </c>
      <c r="BH5" t="inlineStr"/>
      <c r="BI5" t="inlineStr"/>
      <c r="BJ5" t="n">
        <v>15.5</v>
      </c>
      <c r="BK5" t="inlineStr">
        <is>
          <t>bar</t>
        </is>
      </c>
      <c r="BL5" t="inlineStr">
        <is>
          <t>Cross-flow</t>
        </is>
      </c>
      <c r="BM5" t="inlineStr">
        <is>
          <t>10.1016_j.memsci.2016.12.066.pdf</t>
        </is>
      </c>
      <c r="BN5" t="n">
        <v>2017</v>
      </c>
      <c r="BO5" t="inlineStr">
        <is>
          <t>10.1016/j.memsci.2016.12.066</t>
        </is>
      </c>
      <c r="BP5" t="inlineStr">
        <is>
          <t>NaCl</t>
        </is>
      </c>
      <c r="BQ5" t="inlineStr">
        <is>
          <t>NaCl</t>
        </is>
      </c>
      <c r="BR5" t="n">
        <v>0.4665</v>
      </c>
      <c r="BS5" t="inlineStr">
        <is>
          <t>L/(m²·h·bar)</t>
        </is>
      </c>
      <c r="BT5" t="inlineStr">
        <is>
          <t>渗透系数(Permeance)</t>
        </is>
      </c>
      <c r="BU5" t="inlineStr"/>
      <c r="BV5" t="inlineStr">
        <is>
          <t>Thin film composite reverse osmosis membranes prepared via layered interfacial polymerization</t>
        </is>
      </c>
    </row>
    <row r="6">
      <c r="A6" t="inlineStr">
        <is>
          <t>RO</t>
        </is>
      </c>
      <c r="B6" t="inlineStr">
        <is>
          <t>PSf/TA-RO-1.0DMC</t>
        </is>
      </c>
      <c r="C6" t="inlineStr">
        <is>
          <t>Polyamide</t>
        </is>
      </c>
      <c r="D6" t="inlineStr">
        <is>
          <t>Interfacial polymerization (IP)</t>
        </is>
      </c>
      <c r="E6" t="inlineStr">
        <is>
          <t>MPD</t>
        </is>
      </c>
      <c r="F6" t="n">
        <v>4.6</v>
      </c>
      <c r="G6" t="inlineStr">
        <is>
          <t>w/v%</t>
        </is>
      </c>
      <c r="H6" t="inlineStr">
        <is>
          <t>0.046</t>
        </is>
      </c>
      <c r="I6" t="inlineStr">
        <is>
          <t>SAFE_CONVERTED</t>
        </is>
      </c>
      <c r="J6" t="inlineStr">
        <is>
          <t>TMC</t>
        </is>
      </c>
      <c r="K6" t="n">
        <v>0.12</v>
      </c>
      <c r="L6" t="inlineStr">
        <is>
          <t>w/v%</t>
        </is>
      </c>
      <c r="M6" t="inlineStr"/>
      <c r="N6" t="inlineStr">
        <is>
          <t>NEED_TRACEBACK</t>
        </is>
      </c>
      <c r="O6" t="inlineStr">
        <is>
          <t>Heptane; DMC</t>
        </is>
      </c>
      <c r="P6" t="inlineStr">
        <is>
          <t>PSf</t>
        </is>
      </c>
      <c r="Q6" t="inlineStr"/>
      <c r="R6" t="inlineStr"/>
      <c r="S6" t="inlineStr">
        <is>
          <t>TEA; CSA; TA; DMC</t>
        </is>
      </c>
      <c r="T6" t="inlineStr">
        <is>
          <t>1.1; 2.6; 0.25; 1.0</t>
        </is>
      </c>
      <c r="U6" t="inlineStr">
        <is>
          <t>w/v%; w/v%; w/w%; w/v%</t>
        </is>
      </c>
      <c r="V6" t="inlineStr">
        <is>
          <t>;;0.25;</t>
        </is>
      </c>
      <c r="W6" t="inlineStr">
        <is>
          <t>NEED_TRACEBACK;NEED_TRACEBACK;DIRECT_WT;NEED_TRACEBACK</t>
        </is>
      </c>
      <c r="X6" t="n">
        <v>30</v>
      </c>
      <c r="Y6" t="inlineStr">
        <is>
          <t>s</t>
        </is>
      </c>
      <c r="Z6" t="inlineStr"/>
      <c r="AA6" t="inlineStr"/>
      <c r="AB6" t="n">
        <v>80</v>
      </c>
      <c r="AC6" t="inlineStr">
        <is>
          <t>℃</t>
        </is>
      </c>
      <c r="AD6" t="n">
        <v>5</v>
      </c>
      <c r="AE6" t="inlineStr">
        <is>
          <t>min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50</v>
      </c>
      <c r="BA6" t="inlineStr">
        <is>
          <t>L/(m²·h)</t>
        </is>
      </c>
      <c r="BB6" t="n">
        <v>99</v>
      </c>
      <c r="BC6" t="inlineStr">
        <is>
          <t>%</t>
        </is>
      </c>
      <c r="BD6" t="n">
        <v>2000</v>
      </c>
      <c r="BE6" t="inlineStr">
        <is>
          <t>ppm</t>
        </is>
      </c>
      <c r="BF6" t="inlineStr">
        <is>
          <t>0.2</t>
        </is>
      </c>
      <c r="BG6" t="inlineStr">
        <is>
          <t>ASSUMED_CONVERTED</t>
        </is>
      </c>
      <c r="BH6" t="inlineStr"/>
      <c r="BI6" t="inlineStr"/>
      <c r="BJ6" t="n">
        <v>15.5</v>
      </c>
      <c r="BK6" t="inlineStr">
        <is>
          <t>bar</t>
        </is>
      </c>
      <c r="BL6" t="inlineStr">
        <is>
          <t>Cross-flow</t>
        </is>
      </c>
      <c r="BM6" t="inlineStr">
        <is>
          <t>10.1016_j.memsci.2019.117474.pdf</t>
        </is>
      </c>
      <c r="BN6" t="n">
        <v>2020</v>
      </c>
      <c r="BO6" t="inlineStr">
        <is>
          <t>10.1016/j.memsci.2019.117474</t>
        </is>
      </c>
      <c r="BP6" t="inlineStr">
        <is>
          <t>NaCl</t>
        </is>
      </c>
      <c r="BQ6" t="inlineStr">
        <is>
          <t>NaCl</t>
        </is>
      </c>
      <c r="BR6" t="n">
        <v>3.2258</v>
      </c>
      <c r="BS6" t="inlineStr">
        <is>
          <t>L/(m²·h·bar)</t>
        </is>
      </c>
      <c r="BT6" t="inlineStr">
        <is>
          <t>渗透系数(Permeance)</t>
        </is>
      </c>
      <c r="BU6" t="n">
        <v>30</v>
      </c>
      <c r="BV6" t="inlineStr">
        <is>
          <t>Combining tannic acid-modified support and a green co-solvent for high performance reverse osmosis membranes</t>
        </is>
      </c>
    </row>
    <row r="7">
      <c r="A7" t="inlineStr">
        <is>
          <t>RO</t>
        </is>
      </c>
      <c r="B7" t="inlineStr">
        <is>
          <t>MDOPC/OG</t>
        </is>
      </c>
      <c r="C7" t="inlineStr">
        <is>
          <t>Polyamide</t>
        </is>
      </c>
      <c r="D7" t="inlineStr">
        <is>
          <t>Interfacial polymerization (IP)</t>
        </is>
      </c>
      <c r="E7" t="inlineStr">
        <is>
          <t>MPD</t>
        </is>
      </c>
      <c r="F7" t="n">
        <v>3.5</v>
      </c>
      <c r="G7" t="inlineStr">
        <is>
          <t>wt%</t>
        </is>
      </c>
      <c r="H7" t="inlineStr">
        <is>
          <t>3.5</t>
        </is>
      </c>
      <c r="I7" t="inlineStr">
        <is>
          <t>DIRECT_WT</t>
        </is>
      </c>
      <c r="J7" t="inlineStr">
        <is>
          <t>TMC</t>
        </is>
      </c>
      <c r="K7" t="n">
        <v>0.2</v>
      </c>
      <c r="L7" t="inlineStr">
        <is>
          <t>wt%</t>
        </is>
      </c>
      <c r="M7" t="inlineStr">
        <is>
          <t>0.2</t>
        </is>
      </c>
      <c r="N7" t="inlineStr">
        <is>
          <t>DIRECT_WT</t>
        </is>
      </c>
      <c r="O7" t="inlineStr">
        <is>
          <t>Isopar G</t>
        </is>
      </c>
      <c r="P7" t="inlineStr">
        <is>
          <t>PSF</t>
        </is>
      </c>
      <c r="Q7" t="inlineStr"/>
      <c r="R7" t="inlineStr"/>
      <c r="S7" t="inlineStr">
        <is>
          <t>DOPC liposomes (OG-assisted)</t>
        </is>
      </c>
      <c r="T7" t="n">
        <v>0.75</v>
      </c>
      <c r="U7" t="inlineStr">
        <is>
          <t>mg/mL</t>
        </is>
      </c>
      <c r="V7" t="inlineStr"/>
      <c r="W7" t="inlineStr">
        <is>
          <t>NEED_TRACEBACK</t>
        </is>
      </c>
      <c r="X7" t="n">
        <v>1</v>
      </c>
      <c r="Y7" t="inlineStr">
        <is>
          <t>min</t>
        </is>
      </c>
      <c r="Z7" t="inlineStr"/>
      <c r="AA7" t="inlineStr"/>
      <c r="AB7" t="n">
        <v>90</v>
      </c>
      <c r="AC7" t="inlineStr">
        <is>
          <t>℃</t>
        </is>
      </c>
      <c r="AD7" t="n">
        <v>6</v>
      </c>
      <c r="AE7" t="inlineStr">
        <is>
          <t>min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262</v>
      </c>
      <c r="AN7" t="inlineStr">
        <is>
          <t>nm</t>
        </is>
      </c>
      <c r="AO7" t="n">
        <v>2.26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2.4</v>
      </c>
      <c r="BA7" t="inlineStr">
        <is>
          <t>L/(m²·h·bar)</t>
        </is>
      </c>
      <c r="BB7" t="n">
        <v>99</v>
      </c>
      <c r="BC7" t="inlineStr">
        <is>
          <t>%</t>
        </is>
      </c>
      <c r="BD7" t="n">
        <v>35000</v>
      </c>
      <c r="BE7" t="inlineStr">
        <is>
          <t>ppm</t>
        </is>
      </c>
      <c r="BF7" t="inlineStr">
        <is>
          <t>3.5</t>
        </is>
      </c>
      <c r="BG7" t="inlineStr">
        <is>
          <t>ASSUMED_CONVERTED</t>
        </is>
      </c>
      <c r="BH7" t="inlineStr"/>
      <c r="BI7" t="inlineStr"/>
      <c r="BJ7" t="n">
        <v>50</v>
      </c>
      <c r="BK7" t="inlineStr">
        <is>
          <t>bar</t>
        </is>
      </c>
      <c r="BL7" t="inlineStr">
        <is>
          <t>Cross-flow</t>
        </is>
      </c>
      <c r="BM7" t="inlineStr">
        <is>
          <t>10.1021_acs.est.1c08857.pdf</t>
        </is>
      </c>
      <c r="BN7" t="n">
        <v>2022</v>
      </c>
      <c r="BO7" t="inlineStr">
        <is>
          <t>10.1021/acs.est.1c08857</t>
        </is>
      </c>
      <c r="BP7" t="inlineStr">
        <is>
          <t>NaCl</t>
        </is>
      </c>
      <c r="BQ7" t="inlineStr">
        <is>
          <t>NaCl</t>
        </is>
      </c>
      <c r="BR7" t="n">
        <v>0.048</v>
      </c>
      <c r="BS7" t="inlineStr">
        <is>
          <t>L/(m²·h·bar)</t>
        </is>
      </c>
      <c r="BT7" t="inlineStr">
        <is>
          <t>渗透系数(Permeance)</t>
        </is>
      </c>
      <c r="BU7" t="n">
        <v>60</v>
      </c>
      <c r="BV7" t="inlineStr">
        <is>
          <t>Proteoliposome-Incorporated Seawater Reverse Osmosis Polyamide Membrane: Is the Aquaporin Water Channel Effect in Improving Membrane Performance Overestimated?</t>
        </is>
      </c>
    </row>
    <row r="8">
      <c r="A8" t="inlineStr">
        <is>
          <t>RO</t>
        </is>
      </c>
      <c r="B8" t="inlineStr">
        <is>
          <t>TFC-toluene</t>
        </is>
      </c>
      <c r="C8" t="inlineStr">
        <is>
          <t>Polyamide</t>
        </is>
      </c>
      <c r="D8" t="inlineStr">
        <is>
          <t>Interfacial polymerization (IP)</t>
        </is>
      </c>
      <c r="E8" t="inlineStr">
        <is>
          <t>MPD</t>
        </is>
      </c>
      <c r="F8" t="n">
        <v>2</v>
      </c>
      <c r="G8" t="inlineStr">
        <is>
          <t>w/w%</t>
        </is>
      </c>
      <c r="H8" t="inlineStr">
        <is>
          <t>2</t>
        </is>
      </c>
      <c r="I8" t="inlineStr">
        <is>
          <t>DIRECT_WT</t>
        </is>
      </c>
      <c r="J8" t="inlineStr">
        <is>
          <t>TMC</t>
        </is>
      </c>
      <c r="K8" t="n">
        <v>0.1</v>
      </c>
      <c r="L8" t="inlineStr">
        <is>
          <t>w/w%</t>
        </is>
      </c>
      <c r="M8" t="inlineStr">
        <is>
          <t>0.1</t>
        </is>
      </c>
      <c r="N8" t="inlineStr">
        <is>
          <t>DIRECT_WT</t>
        </is>
      </c>
      <c r="O8" t="inlineStr">
        <is>
          <t>n-hexane</t>
        </is>
      </c>
      <c r="P8" t="inlineStr">
        <is>
          <t>PSf</t>
        </is>
      </c>
      <c r="Q8" t="inlineStr"/>
      <c r="R8" t="inlineStr"/>
      <c r="S8" t="inlineStr">
        <is>
          <t>toluene</t>
        </is>
      </c>
      <c r="T8" t="n">
        <v>0.4</v>
      </c>
      <c r="U8" t="inlineStr">
        <is>
          <t>v/v%</t>
        </is>
      </c>
      <c r="V8" t="inlineStr"/>
      <c r="W8" t="inlineStr">
        <is>
          <t>NEED_TRACEBACK</t>
        </is>
      </c>
      <c r="X8" t="n">
        <v>1</v>
      </c>
      <c r="Y8" t="inlineStr">
        <is>
          <t>min</t>
        </is>
      </c>
      <c r="Z8" t="inlineStr">
        <is>
          <t>~25</t>
        </is>
      </c>
      <c r="AA8" t="inlineStr">
        <is>
          <t>°C</t>
        </is>
      </c>
      <c r="AB8" t="n">
        <v>50</v>
      </c>
      <c r="AC8" t="inlineStr">
        <is>
          <t>°C</t>
        </is>
      </c>
      <c r="AD8" t="n">
        <v>10</v>
      </c>
      <c r="AE8" t="inlineStr">
        <is>
          <t>min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248</v>
      </c>
      <c r="AN8" t="inlineStr">
        <is>
          <t>nm</t>
        </is>
      </c>
      <c r="AO8" t="n">
        <v>61.5</v>
      </c>
      <c r="AP8" t="inlineStr">
        <is>
          <t>nm</t>
        </is>
      </c>
      <c r="AQ8" t="inlineStr"/>
      <c r="AR8" t="inlineStr"/>
      <c r="AS8" t="n">
        <v>0.06</v>
      </c>
      <c r="AT8" t="inlineStr">
        <is>
          <t>Void fraction</t>
        </is>
      </c>
      <c r="AU8" t="inlineStr"/>
      <c r="AV8" t="n">
        <v>-32.3</v>
      </c>
      <c r="AW8" t="inlineStr">
        <is>
          <t>mV</t>
        </is>
      </c>
      <c r="AX8" t="n">
        <v>72.40000000000001</v>
      </c>
      <c r="AY8" t="inlineStr">
        <is>
          <t>°</t>
        </is>
      </c>
      <c r="AZ8" t="n">
        <v>1.89</v>
      </c>
      <c r="BA8" t="inlineStr">
        <is>
          <t>L/(m²·h·bar)</t>
        </is>
      </c>
      <c r="BB8" t="n">
        <v>99.3</v>
      </c>
      <c r="BC8" t="inlineStr">
        <is>
          <t>%</t>
        </is>
      </c>
      <c r="BD8" t="n">
        <v>2000</v>
      </c>
      <c r="BE8" t="inlineStr">
        <is>
          <t>ppm</t>
        </is>
      </c>
      <c r="BF8" t="inlineStr">
        <is>
          <t>0.2</t>
        </is>
      </c>
      <c r="BG8" t="inlineStr">
        <is>
          <t>ASSUMED_CONVERTED</t>
        </is>
      </c>
      <c r="BH8" t="inlineStr"/>
      <c r="BI8" t="inlineStr"/>
      <c r="BJ8" t="n">
        <v>15.5</v>
      </c>
      <c r="BK8" t="inlineStr">
        <is>
          <t>bar</t>
        </is>
      </c>
      <c r="BL8" t="inlineStr">
        <is>
          <t>Cross-flow</t>
        </is>
      </c>
      <c r="BM8" t="inlineStr">
        <is>
          <t>10.1021_acs.est.2c01140.pdf</t>
        </is>
      </c>
      <c r="BN8" t="n">
        <v>2022</v>
      </c>
      <c r="BO8" t="inlineStr">
        <is>
          <t>10.1021/acs.est.2c01140</t>
        </is>
      </c>
      <c r="BP8" t="inlineStr">
        <is>
          <t>NaCl</t>
        </is>
      </c>
      <c r="BQ8" t="inlineStr">
        <is>
          <t>NaCl</t>
        </is>
      </c>
      <c r="BR8" t="n">
        <v>0.1219</v>
      </c>
      <c r="BS8" t="inlineStr">
        <is>
          <t>L/(m²·h·bar)</t>
        </is>
      </c>
      <c r="BT8" t="inlineStr">
        <is>
          <t>渗透系数(Permeance)</t>
        </is>
      </c>
      <c r="BU8" t="n">
        <v>60</v>
      </c>
      <c r="BV8" t="inlineStr">
        <is>
          <t>Cosolvent-Assisted Interfacial Polymerization toward Regulating the Morphology and Performance of Polyamide Reverse Osmosis Membranes: Increased m-Phenylenediamine Solubility or Enhanced Interfacial Vaporization?</t>
        </is>
      </c>
    </row>
    <row r="9">
      <c r="A9" t="inlineStr">
        <is>
          <t>NF; RO</t>
        </is>
      </c>
      <c r="B9" t="inlineStr">
        <is>
          <t>PVA-PVS-Stirred-NaCl-10mM-5bar</t>
        </is>
      </c>
      <c r="C9" t="inlineStr">
        <is>
          <t>Polyelectrolyte (PVA/PVS)</t>
        </is>
      </c>
      <c r="D9" t="inlineStr">
        <is>
          <t>Layer-by-Layer Assembly</t>
        </is>
      </c>
      <c r="E9" t="inlineStr">
        <is>
          <t>PVA</t>
        </is>
      </c>
      <c r="F9" t="n">
        <v>0.01</v>
      </c>
      <c r="G9" t="inlineStr">
        <is>
          <t>monomoles/L</t>
        </is>
      </c>
      <c r="H9" t="inlineStr"/>
      <c r="I9" t="inlineStr">
        <is>
          <t>CANNOT_CONVERT</t>
        </is>
      </c>
      <c r="J9" t="inlineStr">
        <is>
          <t>PVS</t>
        </is>
      </c>
      <c r="K9" t="n">
        <v>0.01</v>
      </c>
      <c r="L9" t="inlineStr">
        <is>
          <t>monomoles/L</t>
        </is>
      </c>
      <c r="M9" t="inlineStr"/>
      <c r="N9" t="inlineStr">
        <is>
          <t>CANNOT_CONVERT</t>
        </is>
      </c>
      <c r="O9" t="inlineStr"/>
      <c r="P9" t="inlineStr">
        <is>
          <t>PAN/PET</t>
        </is>
      </c>
      <c r="Q9" t="n">
        <v>1.7</v>
      </c>
      <c r="R9" t="inlineStr"/>
      <c r="S9" t="inlineStr">
        <is>
          <t>NaCl</t>
        </is>
      </c>
      <c r="T9" t="n">
        <v>1</v>
      </c>
      <c r="U9" t="inlineStr">
        <is>
          <t>M</t>
        </is>
      </c>
      <c r="V9" t="inlineStr">
        <is>
          <t>1</t>
        </is>
      </c>
      <c r="W9" t="inlineStr">
        <is>
          <t>DIRECT_WT</t>
        </is>
      </c>
      <c r="X9" t="inlineStr">
        <is>
          <t>'20-30</t>
        </is>
      </c>
      <c r="Y9" t="inlineStr">
        <is>
          <t>min/layer</t>
        </is>
      </c>
      <c r="Z9" t="n">
        <v>20</v>
      </c>
      <c r="AA9" t="inlineStr">
        <is>
          <t>°C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60 bilayers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0.55</v>
      </c>
      <c r="BA9" t="inlineStr">
        <is>
          <t>L/(m²·h)</t>
        </is>
      </c>
      <c r="BB9" t="n">
        <v>84</v>
      </c>
      <c r="BC9" t="inlineStr"/>
      <c r="BD9" t="n">
        <v>10</v>
      </c>
      <c r="BE9" t="inlineStr">
        <is>
          <t>mM</t>
        </is>
      </c>
      <c r="BF9" t="inlineStr"/>
      <c r="BG9" t="inlineStr">
        <is>
          <t>NEED_TRACEBACK</t>
        </is>
      </c>
      <c r="BH9" t="inlineStr"/>
      <c r="BI9" t="inlineStr"/>
      <c r="BJ9" t="n">
        <v>5</v>
      </c>
      <c r="BK9" t="inlineStr">
        <is>
          <t>bar</t>
        </is>
      </c>
      <c r="BL9" t="inlineStr">
        <is>
          <t>Stirred</t>
        </is>
      </c>
      <c r="BM9" t="inlineStr">
        <is>
          <t>jin2003.pdf</t>
        </is>
      </c>
      <c r="BN9" t="n">
        <v>2003</v>
      </c>
      <c r="BO9" t="inlineStr">
        <is>
          <t>10.1021/la020926f</t>
        </is>
      </c>
      <c r="BP9" t="inlineStr">
        <is>
          <t>NaCl</t>
        </is>
      </c>
      <c r="BQ9" t="inlineStr">
        <is>
          <t>NaCl</t>
        </is>
      </c>
      <c r="BR9" t="n">
        <v>0.11</v>
      </c>
      <c r="BS9" t="inlineStr">
        <is>
          <t>L/(m²·h·bar)</t>
        </is>
      </c>
      <c r="BT9" t="inlineStr">
        <is>
          <t>渗透系数(Permeance)</t>
        </is>
      </c>
      <c r="BU9" t="inlineStr"/>
      <c r="BV9" t="inlineStr">
        <is>
          <t>Use of Polyelectrolyte Layer-by-Layer Assemblies as Nanofiltration and Reverse Osmosis Membranes</t>
        </is>
      </c>
    </row>
    <row r="10">
      <c r="A10" t="inlineStr">
        <is>
          <t>RO</t>
        </is>
      </c>
      <c r="B10" t="inlineStr">
        <is>
          <t>Lysozyme-immobilized Polyamide RO membrane</t>
        </is>
      </c>
      <c r="C10" t="inlineStr">
        <is>
          <t>Polyamide</t>
        </is>
      </c>
      <c r="D10" t="inlineStr">
        <is>
          <t>Interfacial polymerization; Surface modification; Enzyme immobilization</t>
        </is>
      </c>
      <c r="E10" t="inlineStr">
        <is>
          <t>MPD</t>
        </is>
      </c>
      <c r="F10" t="n">
        <v>2</v>
      </c>
      <c r="G10" t="inlineStr">
        <is>
          <t>wt%</t>
        </is>
      </c>
      <c r="H10" t="inlineStr">
        <is>
          <t>2</t>
        </is>
      </c>
      <c r="I10" t="inlineStr">
        <is>
          <t>DIRECT_WT</t>
        </is>
      </c>
      <c r="J10" t="inlineStr">
        <is>
          <t>TMC</t>
        </is>
      </c>
      <c r="K10" t="n">
        <v>1</v>
      </c>
      <c r="L10" t="inlineStr">
        <is>
          <t>wt%</t>
        </is>
      </c>
      <c r="M10" t="inlineStr">
        <is>
          <t>1</t>
        </is>
      </c>
      <c r="N10" t="inlineStr">
        <is>
          <t>DIRECT_WT</t>
        </is>
      </c>
      <c r="O10" t="inlineStr">
        <is>
          <t>n-hexane</t>
        </is>
      </c>
      <c r="P10" t="inlineStr">
        <is>
          <t>Polysulfone</t>
        </is>
      </c>
      <c r="Q10" t="n">
        <v>8</v>
      </c>
      <c r="R10" t="inlineStr"/>
      <c r="S10" t="inlineStr">
        <is>
          <t>SDS; EDC; NHS</t>
        </is>
      </c>
      <c r="T10" t="inlineStr">
        <is>
          <t>0.15; 0.1</t>
        </is>
      </c>
      <c r="U10" t="inlineStr">
        <is>
          <t>wt%; mol/L</t>
        </is>
      </c>
      <c r="V10" t="inlineStr">
        <is>
          <t>0.15;;0.15</t>
        </is>
      </c>
      <c r="W10" t="inlineStr">
        <is>
          <t>DIRECT_WT;NEED_TRACEBACK;DIRECT_WT</t>
        </is>
      </c>
      <c r="X10" t="n">
        <v>1</v>
      </c>
      <c r="Y10" t="inlineStr">
        <is>
          <t>min</t>
        </is>
      </c>
      <c r="Z10" t="n">
        <v>4</v>
      </c>
      <c r="AA10" t="inlineStr">
        <is>
          <t>℃</t>
        </is>
      </c>
      <c r="AB10" t="n">
        <v>80</v>
      </c>
      <c r="AC10" t="inlineStr">
        <is>
          <t>℃</t>
        </is>
      </c>
      <c r="AD10" t="n">
        <v>5</v>
      </c>
      <c r="AE10" t="inlineStr">
        <is>
          <t>min</t>
        </is>
      </c>
      <c r="AF10" t="inlineStr">
        <is>
          <t>Lysozyme</t>
        </is>
      </c>
      <c r="AG10" t="n">
        <v>1</v>
      </c>
      <c r="AH10" t="inlineStr">
        <is>
          <t>mg/mL</t>
        </is>
      </c>
      <c r="AI10" t="inlineStr"/>
      <c r="AJ10" t="inlineStr">
        <is>
          <t>NEED_TRACEBACK</t>
        </is>
      </c>
      <c r="AK10" t="inlineStr">
        <is>
          <t>5; 30; 24</t>
        </is>
      </c>
      <c r="AL10" t="inlineStr">
        <is>
          <t>min; min; h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7.5</v>
      </c>
      <c r="AW10" t="inlineStr">
        <is>
          <t>mV</t>
        </is>
      </c>
      <c r="AX10" t="n">
        <v>31.3</v>
      </c>
      <c r="AY10" t="inlineStr">
        <is>
          <t>°</t>
        </is>
      </c>
      <c r="AZ10" t="n">
        <v>0.4</v>
      </c>
      <c r="BA10" t="inlineStr">
        <is>
          <t>m³/(m² day)</t>
        </is>
      </c>
      <c r="BB10" t="n">
        <v>92</v>
      </c>
      <c r="BC10" t="inlineStr">
        <is>
          <t>%</t>
        </is>
      </c>
      <c r="BD10" t="n">
        <v>0.05</v>
      </c>
      <c r="BE10" t="inlineStr">
        <is>
          <t>wt%</t>
        </is>
      </c>
      <c r="BF10" t="inlineStr">
        <is>
          <t>0.05</t>
        </is>
      </c>
      <c r="BG10" t="inlineStr">
        <is>
          <t>DIRECT_WT</t>
        </is>
      </c>
      <c r="BH10" t="n">
        <v>30</v>
      </c>
      <c r="BI10" t="inlineStr">
        <is>
          <t>%</t>
        </is>
      </c>
      <c r="BJ10" t="n">
        <v>0.75</v>
      </c>
      <c r="BK10" t="inlineStr">
        <is>
          <t>MPa</t>
        </is>
      </c>
      <c r="BL10" t="inlineStr">
        <is>
          <t>Cross-flow</t>
        </is>
      </c>
      <c r="BM10" t="inlineStr">
        <is>
          <t>Saeki et al_2013_Development of antibacterial polyamide reverse osmosis membrane modified with a.pdf</t>
        </is>
      </c>
      <c r="BN10" t="n">
        <v>2013</v>
      </c>
      <c r="BO10" t="inlineStr">
        <is>
          <t>10.1016/j.memsci.2012.10.038</t>
        </is>
      </c>
      <c r="BP10" t="inlineStr">
        <is>
          <t>NaCl</t>
        </is>
      </c>
      <c r="BQ10" t="inlineStr">
        <is>
          <t>NaCl</t>
        </is>
      </c>
      <c r="BR10" t="n">
        <v>0.0533</v>
      </c>
      <c r="BS10" t="inlineStr">
        <is>
          <t>L/(m²·h·bar)</t>
        </is>
      </c>
      <c r="BT10" t="inlineStr">
        <is>
          <t>渗透系数(Permeance)</t>
        </is>
      </c>
      <c r="BU10" t="n">
        <v>60</v>
      </c>
      <c r="BV10" t="inlineStr">
        <is>
          <t>Development of antibacterial polyamide reverse osmosis membrane modified with a covalently immobilized enzyme</t>
        </is>
      </c>
    </row>
    <row r="11">
      <c r="A11" t="inlineStr">
        <is>
          <t>RO</t>
        </is>
      </c>
      <c r="B11" t="inlineStr">
        <is>
          <t>15CC3@RO</t>
        </is>
      </c>
      <c r="C11" t="inlineStr">
        <is>
          <t>Polyamide</t>
        </is>
      </c>
      <c r="D11" t="inlineStr">
        <is>
          <t>Interfacial polymerization (IP)</t>
        </is>
      </c>
      <c r="E11" t="inlineStr">
        <is>
          <t>MPD</t>
        </is>
      </c>
      <c r="F11" t="n">
        <v>2</v>
      </c>
      <c r="G11" t="inlineStr">
        <is>
          <t>w/v%</t>
        </is>
      </c>
      <c r="H11" t="inlineStr">
        <is>
          <t>0.02</t>
        </is>
      </c>
      <c r="I11" t="inlineStr">
        <is>
          <t>SAFE_CONVERTED</t>
        </is>
      </c>
      <c r="J11" t="inlineStr">
        <is>
          <t>TMC</t>
        </is>
      </c>
      <c r="K11" t="n">
        <v>0.1</v>
      </c>
      <c r="L11" t="inlineStr">
        <is>
          <t>w/v%</t>
        </is>
      </c>
      <c r="M11" t="inlineStr"/>
      <c r="N11" t="inlineStr">
        <is>
          <t>NEED_TRACEBACK</t>
        </is>
      </c>
      <c r="O11" t="inlineStr">
        <is>
          <t>n-Heptane;Dichloromethane</t>
        </is>
      </c>
      <c r="P11" t="inlineStr">
        <is>
          <t>Polysulfone</t>
        </is>
      </c>
      <c r="Q11" t="inlineStr"/>
      <c r="R11" t="inlineStr"/>
      <c r="S11" t="inlineStr">
        <is>
          <t>TEA;CSA</t>
        </is>
      </c>
      <c r="T11" t="inlineStr">
        <is>
          <t>1.1;2.6</t>
        </is>
      </c>
      <c r="U11" t="inlineStr">
        <is>
          <t>w/v%;w/v%</t>
        </is>
      </c>
      <c r="V11" t="inlineStr">
        <is>
          <t>;</t>
        </is>
      </c>
      <c r="W11" t="inlineStr">
        <is>
          <t>NEED_TRACEBACK;NEED_TRACEBACK</t>
        </is>
      </c>
      <c r="X11" t="n">
        <v>10</v>
      </c>
      <c r="Y11" t="inlineStr">
        <is>
          <t>min</t>
        </is>
      </c>
      <c r="Z11" t="inlineStr"/>
      <c r="AA11" t="inlineStr"/>
      <c r="AB11" t="n">
        <v>80</v>
      </c>
      <c r="AC11" t="inlineStr">
        <is>
          <t>°C</t>
        </is>
      </c>
      <c r="AD11" t="n">
        <v>5</v>
      </c>
      <c r="AE11" t="inlineStr">
        <is>
          <t>min</t>
        </is>
      </c>
      <c r="AF11" t="inlineStr">
        <is>
          <t>CC3</t>
        </is>
      </c>
      <c r="AG11" t="n">
        <v>0.015</v>
      </c>
      <c r="AH11" t="inlineStr">
        <is>
          <t>w/v%</t>
        </is>
      </c>
      <c r="AI11" t="inlineStr"/>
      <c r="AJ11" t="inlineStr">
        <is>
          <t>NEED_TRACEBACK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C=O;N-H;-N=C</t>
        </is>
      </c>
      <c r="AV11" t="inlineStr"/>
      <c r="AW11" t="inlineStr"/>
      <c r="AX11" t="inlineStr"/>
      <c r="AY11" t="inlineStr"/>
      <c r="AZ11" t="n">
        <v>122.1</v>
      </c>
      <c r="BA11" t="inlineStr">
        <is>
          <t>L/(m²·h)</t>
        </is>
      </c>
      <c r="BB11" t="n">
        <v>95.97</v>
      </c>
      <c r="BC11" t="inlineStr">
        <is>
          <t>%</t>
        </is>
      </c>
      <c r="BD11" t="n">
        <v>2000</v>
      </c>
      <c r="BE11" t="inlineStr">
        <is>
          <t>ppm</t>
        </is>
      </c>
      <c r="BF11" t="inlineStr">
        <is>
          <t>0.2</t>
        </is>
      </c>
      <c r="BG11" t="inlineStr">
        <is>
          <t>ASSUMED_CONVERTED</t>
        </is>
      </c>
      <c r="BH11" t="inlineStr"/>
      <c r="BI11" t="inlineStr"/>
      <c r="BJ11" t="n">
        <v>15.5</v>
      </c>
      <c r="BK11" t="inlineStr">
        <is>
          <t>bar</t>
        </is>
      </c>
      <c r="BL11" t="inlineStr">
        <is>
          <t>Cross-flow</t>
        </is>
      </c>
      <c r="BM11" t="inlineStr">
        <is>
          <t>Yao et al_2025_High performance reverse osmosis membrane with a separation layer consisting of.pdf</t>
        </is>
      </c>
      <c r="BN11" t="n">
        <v>2025</v>
      </c>
      <c r="BO11" t="inlineStr">
        <is>
          <t>10.1016/j.desal.2024.118190</t>
        </is>
      </c>
      <c r="BP11" t="inlineStr">
        <is>
          <t>NaCl</t>
        </is>
      </c>
      <c r="BQ11" t="inlineStr">
        <is>
          <t>NaCl</t>
        </is>
      </c>
      <c r="BR11" t="n">
        <v>7.8774</v>
      </c>
      <c r="BS11" t="inlineStr">
        <is>
          <t>L/(m²·h·bar)</t>
        </is>
      </c>
      <c r="BT11" t="inlineStr">
        <is>
          <t>渗透系数(Permeance)</t>
        </is>
      </c>
      <c r="BU11" t="n">
        <v>600</v>
      </c>
      <c r="BV11" t="inlineStr">
        <is>
          <t>High performance reverse osmosis membrane with a separation layer consisting of highly selective polyamide networks and porous organic cages</t>
        </is>
      </c>
    </row>
    <row r="12">
      <c r="A12" t="inlineStr">
        <is>
          <t>RO</t>
        </is>
      </c>
      <c r="B12" t="inlineStr">
        <is>
          <t>TFCM0.5</t>
        </is>
      </c>
      <c r="C12" t="inlineStr">
        <is>
          <t>Polyamide</t>
        </is>
      </c>
      <c r="D12" t="inlineStr">
        <is>
          <t>Interfacial polymerization (IP)</t>
        </is>
      </c>
      <c r="E12" t="inlineStr">
        <is>
          <t>MPD</t>
        </is>
      </c>
      <c r="F12" t="n">
        <v>2</v>
      </c>
      <c r="G12" t="inlineStr">
        <is>
          <t>w/w%</t>
        </is>
      </c>
      <c r="H12" t="inlineStr">
        <is>
          <t>2</t>
        </is>
      </c>
      <c r="I12" t="inlineStr">
        <is>
          <t>DIRECT_WT</t>
        </is>
      </c>
      <c r="J12" t="inlineStr">
        <is>
          <t>TMC</t>
        </is>
      </c>
      <c r="K12" t="n">
        <v>0.1</v>
      </c>
      <c r="L12" t="inlineStr">
        <is>
          <t>w/v%</t>
        </is>
      </c>
      <c r="M12" t="inlineStr"/>
      <c r="N12" t="inlineStr">
        <is>
          <t>NEED_TRACEBACK</t>
        </is>
      </c>
      <c r="O12" t="inlineStr">
        <is>
          <t>n-hexane</t>
        </is>
      </c>
      <c r="P12" t="inlineStr">
        <is>
          <t>PSF</t>
        </is>
      </c>
      <c r="Q12" t="inlineStr"/>
      <c r="R12" t="inlineStr"/>
      <c r="S12" t="inlineStr">
        <is>
          <t>TEA;CSA;Mim</t>
        </is>
      </c>
      <c r="T12" t="inlineStr">
        <is>
          <t>2;4.6;0.5</t>
        </is>
      </c>
      <c r="U12" t="inlineStr">
        <is>
          <t>w/w%;w/w%;w/w%</t>
        </is>
      </c>
      <c r="V12" t="inlineStr">
        <is>
          <t>2;4.6;0.5</t>
        </is>
      </c>
      <c r="W12" t="inlineStr">
        <is>
          <t>DIRECT_WT;DIRECT_WT;DIRECT_WT</t>
        </is>
      </c>
      <c r="X12" t="n">
        <v>30</v>
      </c>
      <c r="Y12" t="inlineStr">
        <is>
          <t>s</t>
        </is>
      </c>
      <c r="Z12" t="inlineStr"/>
      <c r="AA12" t="inlineStr"/>
      <c r="AB12" t="n">
        <v>60</v>
      </c>
      <c r="AC12" t="inlineStr">
        <is>
          <t>℃</t>
        </is>
      </c>
      <c r="AD12" t="n">
        <v>2</v>
      </c>
      <c r="AE12" t="inlineStr">
        <is>
          <t>min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2</v>
      </c>
      <c r="BA12" t="inlineStr">
        <is>
          <t>L/(m²·h·bar)</t>
        </is>
      </c>
      <c r="BB12" t="n">
        <v>90</v>
      </c>
      <c r="BC12" t="inlineStr">
        <is>
          <t>%</t>
        </is>
      </c>
      <c r="BD12" t="n">
        <v>2000</v>
      </c>
      <c r="BE12" t="inlineStr">
        <is>
          <t>mg/L</t>
        </is>
      </c>
      <c r="BF12" t="inlineStr"/>
      <c r="BG12" t="inlineStr">
        <is>
          <t>NEED_TRACEBACK</t>
        </is>
      </c>
      <c r="BH12" t="inlineStr"/>
      <c r="BI12" t="inlineStr"/>
      <c r="BJ12" t="n">
        <v>15</v>
      </c>
      <c r="BK12" t="inlineStr">
        <is>
          <t>bar</t>
        </is>
      </c>
      <c r="BL12" t="inlineStr">
        <is>
          <t>Cross-flow</t>
        </is>
      </c>
      <c r="BM12" t="inlineStr">
        <is>
          <t>Fei et al_2022_Imidazole assisted molecular-scale regulation of polyamide for preparing.pdf</t>
        </is>
      </c>
      <c r="BN12" t="n">
        <v>2022</v>
      </c>
      <c r="BO12" t="inlineStr">
        <is>
          <t>10.1016/j.jece.2022.108146</t>
        </is>
      </c>
      <c r="BP12" t="inlineStr">
        <is>
          <t>NaCl</t>
        </is>
      </c>
      <c r="BQ12" t="inlineStr">
        <is>
          <t>NaCl</t>
        </is>
      </c>
      <c r="BR12" t="n">
        <v>0.1333</v>
      </c>
      <c r="BS12" t="inlineStr">
        <is>
          <t>L/(m²·h·bar)</t>
        </is>
      </c>
      <c r="BT12" t="inlineStr">
        <is>
          <t>渗透系数(Permeance)</t>
        </is>
      </c>
      <c r="BU12" t="n">
        <v>30</v>
      </c>
      <c r="BV12" t="inlineStr">
        <is>
          <t>Imidazole assisted molecular-scale regulation of polyamide for preparing reverse osmosis membrane with enhanced water permeance</t>
        </is>
      </c>
    </row>
    <row r="13">
      <c r="A13" t="inlineStr">
        <is>
          <t>RO</t>
        </is>
      </c>
      <c r="B13" t="inlineStr">
        <is>
          <t>Filmtec-SW30HR-g-3SBMA</t>
        </is>
      </c>
      <c r="C13" t="inlineStr">
        <is>
          <t>Polyamide; Polysulfobetaine</t>
        </is>
      </c>
      <c r="D13" t="inlineStr">
        <is>
          <t>Interfacial polymerization; ARGET ATRP</t>
        </is>
      </c>
      <c r="E13" t="inlineStr">
        <is>
          <t>3-SBMA</t>
        </is>
      </c>
      <c r="F13" t="n">
        <v>0.219</v>
      </c>
      <c r="G13" t="inlineStr">
        <is>
          <t>M</t>
        </is>
      </c>
      <c r="H13" t="inlineStr">
        <is>
          <t>0.219</t>
        </is>
      </c>
      <c r="I13" t="inlineStr">
        <is>
          <t>DIRECT_WT</t>
        </is>
      </c>
      <c r="J13" t="inlineStr">
        <is>
          <t>2-bromoisobutyryl bromide</t>
        </is>
      </c>
      <c r="K13" t="n">
        <v>0.054</v>
      </c>
      <c r="L13" t="inlineStr">
        <is>
          <t>M</t>
        </is>
      </c>
      <c r="M13" t="inlineStr">
        <is>
          <t>0.054</t>
        </is>
      </c>
      <c r="N13" t="inlineStr">
        <is>
          <t>DIRECT_WT</t>
        </is>
      </c>
      <c r="O13" t="inlineStr">
        <is>
          <t>Hexane; Methanol/water (1:1 v/v)</t>
        </is>
      </c>
      <c r="P13" t="inlineStr">
        <is>
          <t>Polyester; Polysulfone</t>
        </is>
      </c>
      <c r="Q13" t="inlineStr"/>
      <c r="R13" t="inlineStr"/>
      <c r="S13" t="inlineStr">
        <is>
          <t>Triethylamine; CuCl2; TPMA; Ascorbic acid</t>
        </is>
      </c>
      <c r="T13" t="inlineStr">
        <is>
          <t>0.111; 4.41e-5; 4.41e-4; 0.68</t>
        </is>
      </c>
      <c r="U13" t="inlineStr">
        <is>
          <t>M</t>
        </is>
      </c>
      <c r="V13" t="inlineStr">
        <is>
          <t>0.111;4.41e-05;0.000441;0.68</t>
        </is>
      </c>
      <c r="W13" t="inlineStr">
        <is>
          <t>DIRECT_WT;DIRECT_WT;DIRECT_WT;DIRECT_WT</t>
        </is>
      </c>
      <c r="X13" t="inlineStr">
        <is>
          <t>180; 24</t>
        </is>
      </c>
      <c r="Y13" t="inlineStr">
        <is>
          <t>min (initiator); h (polymerization)</t>
        </is>
      </c>
      <c r="Z13" t="inlineStr">
        <is>
          <t>0 then 20-25</t>
        </is>
      </c>
      <c r="AA13" t="inlineStr">
        <is>
          <t>℃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less than 50</t>
        </is>
      </c>
      <c r="AN13" t="inlineStr">
        <is>
          <t>nm</t>
        </is>
      </c>
      <c r="AO13" t="inlineStr">
        <is>
          <t>smoother</t>
        </is>
      </c>
      <c r="AP13" t="inlineStr"/>
      <c r="AQ13" t="inlineStr"/>
      <c r="AR13" t="inlineStr"/>
      <c r="AS13" t="inlineStr"/>
      <c r="AT13" t="inlineStr"/>
      <c r="AU13" t="inlineStr">
        <is>
          <t>sulfonate ions</t>
        </is>
      </c>
      <c r="AV13" t="inlineStr"/>
      <c r="AW13" t="inlineStr"/>
      <c r="AX13" t="inlineStr"/>
      <c r="AY13" t="inlineStr"/>
      <c r="AZ13" t="n">
        <v>1.14</v>
      </c>
      <c r="BA13" t="inlineStr">
        <is>
          <t>L/(m²·h·bar)</t>
        </is>
      </c>
      <c r="BB13" t="n">
        <v>96.8</v>
      </c>
      <c r="BC13" t="inlineStr">
        <is>
          <t>%</t>
        </is>
      </c>
      <c r="BD13" t="n">
        <v>36000</v>
      </c>
      <c r="BE13" t="inlineStr">
        <is>
          <t>ppm</t>
        </is>
      </c>
      <c r="BF13" t="inlineStr">
        <is>
          <t>3.6</t>
        </is>
      </c>
      <c r="BG13" t="inlineStr">
        <is>
          <t>ASSUMED_CONVERTED</t>
        </is>
      </c>
      <c r="BH13" t="inlineStr"/>
      <c r="BI13" t="inlineStr"/>
      <c r="BJ13" t="n">
        <v>4140</v>
      </c>
      <c r="BK13" t="inlineStr">
        <is>
          <t>kPa</t>
        </is>
      </c>
      <c r="BL13" t="inlineStr">
        <is>
          <t>Cross-flow</t>
        </is>
      </c>
      <c r="BM13" t="inlineStr">
        <is>
          <t>Ginic-Markovic et al_2015_Biofouling resistance of polysulfobetaine coated reverse osmosis membranes.pdf</t>
        </is>
      </c>
      <c r="BN13" t="n">
        <v>2015</v>
      </c>
      <c r="BO13" t="inlineStr">
        <is>
          <t>10.1016/j.desal.2015.04.024</t>
        </is>
      </c>
      <c r="BP13" t="inlineStr">
        <is>
          <t>NaCl</t>
        </is>
      </c>
      <c r="BQ13" t="inlineStr">
        <is>
          <t>NaCl</t>
        </is>
      </c>
      <c r="BR13" t="n">
        <v>0.0003</v>
      </c>
      <c r="BS13" t="inlineStr">
        <is>
          <t>L/(m²·h·bar)</t>
        </is>
      </c>
      <c r="BT13" t="inlineStr">
        <is>
          <t>渗透系数(Permeance)</t>
        </is>
      </c>
      <c r="BU13" t="inlineStr"/>
      <c r="BV13" t="inlineStr">
        <is>
          <t>Biofouling resistance of polysulfobetaine coated reverse osmosis membranes</t>
        </is>
      </c>
    </row>
    <row r="14">
      <c r="A14" t="inlineStr">
        <is>
          <t>RO</t>
        </is>
      </c>
      <c r="B14" t="inlineStr">
        <is>
          <t>TFN0.1</t>
        </is>
      </c>
      <c r="C14" t="inlineStr">
        <is>
          <t>Polyamide</t>
        </is>
      </c>
      <c r="D14" t="inlineStr">
        <is>
          <t>Interfacial polymerization (IP)</t>
        </is>
      </c>
      <c r="E14" t="inlineStr">
        <is>
          <t>MPD</t>
        </is>
      </c>
      <c r="F14" t="n">
        <v>2</v>
      </c>
      <c r="G14" t="inlineStr">
        <is>
          <t>wt%</t>
        </is>
      </c>
      <c r="H14" t="inlineStr">
        <is>
          <t>2</t>
        </is>
      </c>
      <c r="I14" t="inlineStr">
        <is>
          <t>DIRECT_WT</t>
        </is>
      </c>
      <c r="J14" t="inlineStr">
        <is>
          <t>TMC</t>
        </is>
      </c>
      <c r="K14" t="n">
        <v>0.1</v>
      </c>
      <c r="L14" t="inlineStr">
        <is>
          <t>wt%</t>
        </is>
      </c>
      <c r="M14" t="inlineStr">
        <is>
          <t>0.1</t>
        </is>
      </c>
      <c r="N14" t="inlineStr">
        <is>
          <t>DIRECT_WT</t>
        </is>
      </c>
      <c r="O14" t="inlineStr">
        <is>
          <t>Cyclohexane</t>
        </is>
      </c>
      <c r="P14" t="inlineStr">
        <is>
          <t>PSf</t>
        </is>
      </c>
      <c r="Q14" t="inlineStr"/>
      <c r="R14" t="inlineStr"/>
      <c r="S14" t="inlineStr">
        <is>
          <t>HNTs</t>
        </is>
      </c>
      <c r="T14" t="n">
        <v>0.1</v>
      </c>
      <c r="U14" t="inlineStr">
        <is>
          <t>wt/v%</t>
        </is>
      </c>
      <c r="V14" t="inlineStr"/>
      <c r="W14" t="inlineStr">
        <is>
          <t>NEED_TRACEBACK</t>
        </is>
      </c>
      <c r="X14" t="n">
        <v>1</v>
      </c>
      <c r="Y14" t="inlineStr">
        <is>
          <t>min</t>
        </is>
      </c>
      <c r="Z14" t="inlineStr">
        <is>
          <t>Ambient</t>
        </is>
      </c>
      <c r="AA14" t="inlineStr"/>
      <c r="AB14" t="n">
        <v>90</v>
      </c>
      <c r="AC14" t="inlineStr">
        <is>
          <t>℃</t>
        </is>
      </c>
      <c r="AD14" t="n">
        <v>10</v>
      </c>
      <c r="AE14" t="inlineStr">
        <is>
          <t>min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259.25</v>
      </c>
      <c r="AN14" t="inlineStr">
        <is>
          <t>nm</t>
        </is>
      </c>
      <c r="AO14" t="n">
        <v>75.7</v>
      </c>
      <c r="AP14" t="inlineStr">
        <is>
          <t>nm</t>
        </is>
      </c>
      <c r="AQ14" t="inlineStr"/>
      <c r="AR14" t="inlineStr"/>
      <c r="AS14" t="inlineStr"/>
      <c r="AT14" t="inlineStr"/>
      <c r="AU14" t="inlineStr">
        <is>
          <t>C-N; C=O; Si-O; Al-OH</t>
        </is>
      </c>
      <c r="AV14" t="inlineStr"/>
      <c r="AW14" t="inlineStr"/>
      <c r="AX14" t="n">
        <v>52.9</v>
      </c>
      <c r="AY14" t="inlineStr">
        <is>
          <t>°</t>
        </is>
      </c>
      <c r="AZ14" t="n">
        <v>48</v>
      </c>
      <c r="BA14" t="inlineStr">
        <is>
          <t>L m⁻² h⁻¹</t>
        </is>
      </c>
      <c r="BB14" t="n">
        <v>80.5</v>
      </c>
      <c r="BC14" t="inlineStr">
        <is>
          <t>%</t>
        </is>
      </c>
      <c r="BD14" t="n">
        <v>2000</v>
      </c>
      <c r="BE14" t="inlineStr">
        <is>
          <t>ppm</t>
        </is>
      </c>
      <c r="BF14" t="inlineStr">
        <is>
          <t>0.2</t>
        </is>
      </c>
      <c r="BG14" t="inlineStr">
        <is>
          <t>ASSUMED_CONVERTED</t>
        </is>
      </c>
      <c r="BH14" t="inlineStr"/>
      <c r="BI14" t="inlineStr"/>
      <c r="BJ14" t="n">
        <v>15</v>
      </c>
      <c r="BK14" t="inlineStr">
        <is>
          <t>bar</t>
        </is>
      </c>
      <c r="BL14" t="inlineStr">
        <is>
          <t>Dead-end</t>
        </is>
      </c>
      <c r="BM14" t="inlineStr">
        <is>
          <t>Ghanbari et al_2015_Synthesis and characterization of novel thin film nanocomposite reverse osmosis.pdf</t>
        </is>
      </c>
      <c r="BN14" t="n">
        <v>2015</v>
      </c>
      <c r="BO14" t="inlineStr">
        <is>
          <t>10.1039/c4ra16177g</t>
        </is>
      </c>
      <c r="BP14" t="inlineStr">
        <is>
          <t>NaCl</t>
        </is>
      </c>
      <c r="BQ14" t="inlineStr">
        <is>
          <t>NaCl</t>
        </is>
      </c>
      <c r="BR14" t="n">
        <v>3.2</v>
      </c>
      <c r="BS14" t="inlineStr">
        <is>
          <t>L/(m²·h·bar)</t>
        </is>
      </c>
      <c r="BT14" t="inlineStr">
        <is>
          <t>渗透系数(Permeance)</t>
        </is>
      </c>
      <c r="BU14" t="n">
        <v>60</v>
      </c>
      <c r="BV14" t="inlineStr">
        <is>
          <t>Synthesis and characterization of novel thin film nanocomposite reverse osmosis membranes with improved organic fouling properties for water desalination</t>
        </is>
      </c>
    </row>
    <row r="15">
      <c r="A15" t="inlineStr">
        <is>
          <t>RO</t>
        </is>
      </c>
      <c r="B15" t="inlineStr">
        <is>
          <t>(0.1:0.013%) N-IPAAm/MBAAm/CA/CTA-RO membrane</t>
        </is>
      </c>
      <c r="C15" t="inlineStr">
        <is>
          <t>Cellulose acetate; Cellulose triacetate; N-isopropylacrylamide; N,N-methylene bisacrylamide</t>
        </is>
      </c>
      <c r="D15" t="inlineStr">
        <is>
          <t>Phase inversion; Grafting; Crosslinking</t>
        </is>
      </c>
      <c r="E15" t="inlineStr">
        <is>
          <t>N-IPAAm</t>
        </is>
      </c>
      <c r="F15" t="n">
        <v>0.1</v>
      </c>
      <c r="G15" t="inlineStr">
        <is>
          <t>%</t>
        </is>
      </c>
      <c r="H15" t="inlineStr"/>
      <c r="I15" t="inlineStr">
        <is>
          <t>NEED_TRACEBACK</t>
        </is>
      </c>
      <c r="J15" t="inlineStr">
        <is>
          <t>MBAAm</t>
        </is>
      </c>
      <c r="K15" t="n">
        <v>0.013</v>
      </c>
      <c r="L15" t="inlineStr">
        <is>
          <t>%</t>
        </is>
      </c>
      <c r="M15" t="inlineStr"/>
      <c r="N15" t="inlineStr">
        <is>
          <t>NEED_TRACEBACK</t>
        </is>
      </c>
      <c r="O15" t="inlineStr">
        <is>
          <t>acetone; acetic acid; dioxane; methanol; ethanol</t>
        </is>
      </c>
      <c r="P15" t="inlineStr">
        <is>
          <t>glass substrate</t>
        </is>
      </c>
      <c r="Q15" t="n">
        <v>7</v>
      </c>
      <c r="R15" t="inlineStr"/>
      <c r="S15" t="inlineStr">
        <is>
          <t>Potassium persulfate; Sodium hydroxide</t>
        </is>
      </c>
      <c r="T15" t="inlineStr">
        <is>
          <t>1.5; 0.014</t>
        </is>
      </c>
      <c r="U15" t="inlineStr">
        <is>
          <t>%; %</t>
        </is>
      </c>
      <c r="V15" t="inlineStr">
        <is>
          <t>;</t>
        </is>
      </c>
      <c r="W15" t="inlineStr">
        <is>
          <t>NEED_TRACEBACK;NEED_TRACEBACK</t>
        </is>
      </c>
      <c r="X15" t="inlineStr"/>
      <c r="Y15" t="inlineStr"/>
      <c r="Z15" t="inlineStr">
        <is>
          <t>room temperature</t>
        </is>
      </c>
      <c r="AA15" t="inlineStr"/>
      <c r="AB15" t="inlineStr">
        <is>
          <t>60; 80</t>
        </is>
      </c>
      <c r="AC15" t="inlineStr">
        <is>
          <t>℃</t>
        </is>
      </c>
      <c r="AD15" t="inlineStr">
        <is>
          <t>10; 10</t>
        </is>
      </c>
      <c r="AE15" t="inlineStr">
        <is>
          <t>min</t>
        </is>
      </c>
      <c r="AF15" t="inlineStr">
        <is>
          <t>N-IPAAm; MBAAm</t>
        </is>
      </c>
      <c r="AG15" t="inlineStr">
        <is>
          <t>0.1; 0.013</t>
        </is>
      </c>
      <c r="AH15" t="inlineStr">
        <is>
          <t>%; %</t>
        </is>
      </c>
      <c r="AI15" t="inlineStr">
        <is>
          <t>;</t>
        </is>
      </c>
      <c r="AJ15" t="inlineStr">
        <is>
          <t>NEED_TRACEBACK;NEED_TRACEBACK</t>
        </is>
      </c>
      <c r="AK15" t="n">
        <v>10</v>
      </c>
      <c r="AL15" t="inlineStr">
        <is>
          <t>min</t>
        </is>
      </c>
      <c r="AM15" t="n">
        <v>250</v>
      </c>
      <c r="AN15" t="inlineStr">
        <is>
          <t>µm</t>
        </is>
      </c>
      <c r="AO15" t="n">
        <v>13</v>
      </c>
      <c r="AP15" t="inlineStr">
        <is>
          <t>nm</t>
        </is>
      </c>
      <c r="AQ15" t="inlineStr"/>
      <c r="AR15" t="inlineStr"/>
      <c r="AS15" t="inlineStr"/>
      <c r="AT15" t="inlineStr"/>
      <c r="AU15" t="inlineStr">
        <is>
          <t>'-OH; -CH; C=O(acetyl); -NH; C=O(amide); C-N(amide)</t>
        </is>
      </c>
      <c r="AV15" t="inlineStr"/>
      <c r="AW15" t="inlineStr"/>
      <c r="AX15" t="n">
        <v>43.8</v>
      </c>
      <c r="AY15" t="inlineStr">
        <is>
          <t>°</t>
        </is>
      </c>
      <c r="AZ15" t="n">
        <v>4.11</v>
      </c>
      <c r="BA15" t="inlineStr">
        <is>
          <t>L/(m²h)</t>
        </is>
      </c>
      <c r="BB15" t="n">
        <v>90</v>
      </c>
      <c r="BC15" t="inlineStr">
        <is>
          <t>%</t>
        </is>
      </c>
      <c r="BD15" t="n">
        <v>10000</v>
      </c>
      <c r="BE15" t="inlineStr">
        <is>
          <t>ppm</t>
        </is>
      </c>
      <c r="BF15" t="inlineStr">
        <is>
          <t>1</t>
        </is>
      </c>
      <c r="BG15" t="inlineStr">
        <is>
          <t>ASSUMED_CONVERTED</t>
        </is>
      </c>
      <c r="BH15" t="inlineStr"/>
      <c r="BI15" t="inlineStr"/>
      <c r="BJ15" t="n">
        <v>10</v>
      </c>
      <c r="BK15" t="inlineStr">
        <is>
          <t>bar</t>
        </is>
      </c>
      <c r="BL15" t="inlineStr">
        <is>
          <t>Cross-flow</t>
        </is>
      </c>
      <c r="BM15" t="inlineStr">
        <is>
          <t>10.1002_pen.25517.pdf</t>
        </is>
      </c>
      <c r="BN15" t="n">
        <v>2020</v>
      </c>
      <c r="BO15" t="inlineStr">
        <is>
          <t>10.1002/pen.25517</t>
        </is>
      </c>
      <c r="BP15" t="inlineStr">
        <is>
          <t>NaCl</t>
        </is>
      </c>
      <c r="BQ15" t="inlineStr">
        <is>
          <t>NaCl</t>
        </is>
      </c>
      <c r="BR15" t="n">
        <v>0.411</v>
      </c>
      <c r="BS15" t="inlineStr">
        <is>
          <t>L/(m²·h·bar)</t>
        </is>
      </c>
      <c r="BT15" t="inlineStr">
        <is>
          <t>渗透系数(Permeance)</t>
        </is>
      </c>
      <c r="BU15" t="inlineStr"/>
      <c r="BV15" t="inlineStr">
        <is>
          <t>Effect of cellulose acetate/cellulose triacetate ratio on reverse osmosis blend membrane 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slot_name</t>
        </is>
      </c>
      <c r="C1" t="inlineStr">
        <is>
          <t>original_solute</t>
        </is>
      </c>
      <c r="D1" t="inlineStr">
        <is>
          <t>standardized_solute</t>
        </is>
      </c>
      <c r="E1" t="inlineStr">
        <is>
          <t>IUPAC_Name</t>
        </is>
      </c>
      <c r="F1" t="inlineStr">
        <is>
          <t>formula</t>
        </is>
      </c>
      <c r="G1" t="inlineStr">
        <is>
          <t>original_value</t>
        </is>
      </c>
      <c r="H1" t="inlineStr">
        <is>
          <t>original_unit</t>
        </is>
      </c>
      <c r="I1" t="inlineStr">
        <is>
          <t>canonical_unit</t>
        </is>
      </c>
      <c r="J1" t="inlineStr">
        <is>
          <t>unit_family</t>
        </is>
      </c>
      <c r="K1" t="inlineStr">
        <is>
          <t>phase</t>
        </is>
      </c>
      <c r="L1" t="inlineStr">
        <is>
          <t>solvent_identified</t>
        </is>
      </c>
      <c r="M1" t="inlineStr">
        <is>
          <t>physical_form_inferred</t>
        </is>
      </c>
      <c r="N1" t="inlineStr">
        <is>
          <t>percent_type_inferred</t>
        </is>
      </c>
      <c r="O1" t="inlineStr">
        <is>
          <t>MW</t>
        </is>
      </c>
      <c r="P1" t="inlineStr">
        <is>
          <t>MW_source</t>
        </is>
      </c>
      <c r="Q1" t="inlineStr">
        <is>
          <t>density_solution</t>
        </is>
      </c>
      <c r="R1" t="inlineStr">
        <is>
          <t>density_source</t>
        </is>
      </c>
      <c r="S1" t="inlineStr">
        <is>
          <t>suggested_wtpercent</t>
        </is>
      </c>
      <c r="T1" t="inlineStr">
        <is>
          <t>suggested_status</t>
        </is>
      </c>
      <c r="U1" t="inlineStr">
        <is>
          <t>suggested_reason</t>
        </is>
      </c>
      <c r="V1" t="inlineStr">
        <is>
          <t>final_value</t>
        </is>
      </c>
      <c r="W1" t="inlineStr">
        <is>
          <t>final_unit</t>
        </is>
      </c>
      <c r="X1" t="inlineStr">
        <is>
          <t>final_status</t>
        </is>
      </c>
      <c r="Y1" t="inlineStr">
        <is>
          <t>final_reason</t>
        </is>
      </c>
    </row>
    <row r="2">
      <c r="A2" t="n">
        <v>0</v>
      </c>
      <c r="B2" t="inlineStr">
        <is>
          <t>aqueous_monomer</t>
        </is>
      </c>
      <c r="C2" t="inlineStr">
        <is>
          <t>Maleic acid</t>
        </is>
      </c>
      <c r="D2" t="inlineStr">
        <is>
          <t>maleicacid</t>
        </is>
      </c>
      <c r="E2" t="inlineStr"/>
      <c r="F2" t="inlineStr"/>
      <c r="G2" t="n">
        <v>17</v>
      </c>
      <c r="H2" t="inlineStr">
        <is>
          <t>mg/L</t>
        </is>
      </c>
      <c r="I2" t="inlineStr">
        <is>
          <t>mg/L</t>
        </is>
      </c>
      <c r="J2" t="inlineStr">
        <is>
          <t>mass_concentration</t>
        </is>
      </c>
      <c r="K2" t="inlineStr">
        <is>
          <t>aqueous</t>
        </is>
      </c>
      <c r="L2" t="inlineStr"/>
      <c r="M2" t="inlineStr"/>
      <c r="N2" t="inlineStr"/>
      <c r="O2" t="inlineStr"/>
      <c r="P2" t="inlineStr">
        <is>
          <t>unknown</t>
        </is>
      </c>
      <c r="Q2" t="inlineStr"/>
      <c r="R2" t="inlineStr">
        <is>
          <t>unknown</t>
        </is>
      </c>
      <c r="S2" t="inlineStr"/>
      <c r="T2" t="inlineStr">
        <is>
          <t>NEED_TRACEBACK</t>
        </is>
      </c>
      <c r="U2" t="inlineStr">
        <is>
          <t>mass_concentration requires density_solution</t>
        </is>
      </c>
      <c r="V2" t="inlineStr"/>
      <c r="W2" t="inlineStr">
        <is>
          <t>wt%</t>
        </is>
      </c>
      <c r="X2" t="inlineStr">
        <is>
          <t>FAILED_PARSE</t>
        </is>
      </c>
      <c r="Y2" t="inlineStr"/>
    </row>
    <row r="3">
      <c r="A3" t="n">
        <v>0</v>
      </c>
      <c r="B3" t="inlineStr">
        <is>
          <t>test_nacl</t>
        </is>
      </c>
      <c r="C3" t="inlineStr">
        <is>
          <t>NaCl</t>
        </is>
      </c>
      <c r="D3" t="inlineStr">
        <is>
          <t>nacl</t>
        </is>
      </c>
      <c r="E3" t="inlineStr"/>
      <c r="F3" t="inlineStr"/>
      <c r="G3" t="n">
        <v>1</v>
      </c>
      <c r="H3" t="inlineStr">
        <is>
          <t>g/L</t>
        </is>
      </c>
      <c r="I3" t="inlineStr">
        <is>
          <t>g/L</t>
        </is>
      </c>
      <c r="J3" t="inlineStr">
        <is>
          <t>mass_concentration</t>
        </is>
      </c>
      <c r="K3" t="inlineStr">
        <is>
          <t>aqueous</t>
        </is>
      </c>
      <c r="L3" t="inlineStr"/>
      <c r="M3" t="inlineStr"/>
      <c r="N3" t="inlineStr"/>
      <c r="O3" t="inlineStr"/>
      <c r="P3" t="inlineStr">
        <is>
          <t>unknown</t>
        </is>
      </c>
      <c r="Q3" t="n">
        <v>1</v>
      </c>
      <c r="R3" t="inlineStr">
        <is>
          <t>aqueous_dilute_approx</t>
        </is>
      </c>
      <c r="S3" t="n">
        <v>0.1</v>
      </c>
      <c r="T3" t="inlineStr">
        <is>
          <t>SAFE_CONVERTED</t>
        </is>
      </c>
      <c r="U3" t="inlineStr">
        <is>
          <t>g/L to wt% (rho=1.0 from aqueous_dilute_approx)</t>
        </is>
      </c>
      <c r="V3" t="inlineStr"/>
      <c r="W3" t="inlineStr">
        <is>
          <t>wt%</t>
        </is>
      </c>
      <c r="X3" t="inlineStr">
        <is>
          <t>FAILED_PARSE</t>
        </is>
      </c>
      <c r="Y3" t="inlineStr"/>
    </row>
    <row r="4">
      <c r="A4" t="n">
        <v>1</v>
      </c>
      <c r="B4" t="inlineStr">
        <is>
          <t>aqueous_monomer</t>
        </is>
      </c>
      <c r="C4" t="inlineStr">
        <is>
          <t>MPDA</t>
        </is>
      </c>
      <c r="D4" t="inlineStr">
        <is>
          <t>mpda</t>
        </is>
      </c>
      <c r="E4" t="inlineStr"/>
      <c r="F4" t="inlineStr"/>
      <c r="G4" t="n">
        <v>2</v>
      </c>
      <c r="H4" t="inlineStr">
        <is>
          <t>w/v</t>
        </is>
      </c>
      <c r="I4" t="inlineStr">
        <is>
          <t>w/v%</t>
        </is>
      </c>
      <c r="J4" t="inlineStr">
        <is>
          <t>mass_volume_percent</t>
        </is>
      </c>
      <c r="K4" t="inlineStr">
        <is>
          <t>aqueous</t>
        </is>
      </c>
      <c r="L4" t="inlineStr"/>
      <c r="M4" t="inlineStr"/>
      <c r="N4" t="inlineStr"/>
      <c r="O4" t="inlineStr"/>
      <c r="P4" t="inlineStr">
        <is>
          <t>unknown</t>
        </is>
      </c>
      <c r="Q4" t="n">
        <v>1</v>
      </c>
      <c r="R4" t="inlineStr">
        <is>
          <t>aqueous_dilute_approx</t>
        </is>
      </c>
      <c r="S4" t="n">
        <v>0.02</v>
      </c>
      <c r="T4" t="inlineStr">
        <is>
          <t>SAFE_CONVERTED</t>
        </is>
      </c>
      <c r="U4" t="inlineStr">
        <is>
          <t>w/v% to wt% (rho=1.0 from aqueous_dilute_approx)</t>
        </is>
      </c>
      <c r="V4" t="inlineStr"/>
      <c r="W4" t="inlineStr">
        <is>
          <t>wt%</t>
        </is>
      </c>
      <c r="X4" t="inlineStr">
        <is>
          <t>FAILED_PARSE</t>
        </is>
      </c>
      <c r="Y4" t="inlineStr"/>
    </row>
    <row r="5">
      <c r="A5" t="n">
        <v>1</v>
      </c>
      <c r="B5" t="inlineStr">
        <is>
          <t>organic_monomer</t>
        </is>
      </c>
      <c r="C5" t="inlineStr">
        <is>
          <t>mm-BTEC</t>
        </is>
      </c>
      <c r="D5" t="inlineStr">
        <is>
          <t>mm-btec</t>
        </is>
      </c>
      <c r="E5" t="inlineStr"/>
      <c r="F5" t="inlineStr"/>
      <c r="G5" t="n">
        <v>0.1</v>
      </c>
      <c r="H5" t="inlineStr">
        <is>
          <t>w/v</t>
        </is>
      </c>
      <c r="I5" t="inlineStr">
        <is>
          <t>w/v%</t>
        </is>
      </c>
      <c r="J5" t="inlineStr">
        <is>
          <t>mass_volume_percent</t>
        </is>
      </c>
      <c r="K5" t="inlineStr">
        <is>
          <t>organic</t>
        </is>
      </c>
      <c r="L5" t="inlineStr"/>
      <c r="M5" t="inlineStr"/>
      <c r="N5" t="inlineStr"/>
      <c r="O5" t="inlineStr"/>
      <c r="P5" t="inlineStr">
        <is>
          <t>unknown</t>
        </is>
      </c>
      <c r="Q5" t="inlineStr"/>
      <c r="R5" t="inlineStr">
        <is>
          <t>organic_solvent_unknown</t>
        </is>
      </c>
      <c r="S5" t="inlineStr"/>
      <c r="T5" t="inlineStr">
        <is>
          <t>NEED_TRACEBACK</t>
        </is>
      </c>
      <c r="U5" t="inlineStr">
        <is>
          <t>w/v% requires density_solution</t>
        </is>
      </c>
      <c r="V5" t="inlineStr"/>
      <c r="W5" t="inlineStr">
        <is>
          <t>wt%</t>
        </is>
      </c>
      <c r="X5" t="inlineStr">
        <is>
          <t>FAILED_PARSE</t>
        </is>
      </c>
      <c r="Y5" t="inlineStr"/>
    </row>
    <row r="6">
      <c r="A6" t="n">
        <v>1</v>
      </c>
      <c r="B6" t="inlineStr">
        <is>
          <t>additive</t>
        </is>
      </c>
      <c r="C6" t="inlineStr">
        <is>
          <t>TEA</t>
        </is>
      </c>
      <c r="D6" t="inlineStr">
        <is>
          <t>tea</t>
        </is>
      </c>
      <c r="E6" t="inlineStr"/>
      <c r="F6" t="inlineStr"/>
      <c r="G6" t="n">
        <v>1</v>
      </c>
      <c r="H6" t="inlineStr">
        <is>
          <t>w/v</t>
        </is>
      </c>
      <c r="I6" t="inlineStr">
        <is>
          <t>w/v%</t>
        </is>
      </c>
      <c r="J6" t="inlineStr">
        <is>
          <t>mass_volume_percent</t>
        </is>
      </c>
      <c r="K6" t="inlineStr">
        <is>
          <t>unknown</t>
        </is>
      </c>
      <c r="L6" t="inlineStr"/>
      <c r="M6" t="inlineStr"/>
      <c r="N6" t="inlineStr"/>
      <c r="O6" t="inlineStr"/>
      <c r="P6" t="inlineStr">
        <is>
          <t>unknown</t>
        </is>
      </c>
      <c r="Q6" t="inlineStr"/>
      <c r="R6" t="inlineStr">
        <is>
          <t>unknown</t>
        </is>
      </c>
      <c r="S6" t="inlineStr"/>
      <c r="T6" t="inlineStr">
        <is>
          <t>NEED_TRACEBACK</t>
        </is>
      </c>
      <c r="U6" t="inlineStr">
        <is>
          <t>w/v% requires density_solution</t>
        </is>
      </c>
      <c r="V6" t="inlineStr"/>
      <c r="W6" t="inlineStr">
        <is>
          <t>wt%</t>
        </is>
      </c>
      <c r="X6" t="inlineStr">
        <is>
          <t>FAILED_PARSE</t>
        </is>
      </c>
      <c r="Y6" t="inlineStr"/>
    </row>
    <row r="7">
      <c r="A7" t="n">
        <v>1</v>
      </c>
      <c r="B7" t="inlineStr">
        <is>
          <t>additive</t>
        </is>
      </c>
      <c r="C7" t="inlineStr">
        <is>
          <t>DSS</t>
        </is>
      </c>
      <c r="D7" t="inlineStr">
        <is>
          <t>dss</t>
        </is>
      </c>
      <c r="E7" t="inlineStr"/>
      <c r="F7" t="inlineStr"/>
      <c r="G7" t="n">
        <v>0.05</v>
      </c>
      <c r="H7" t="inlineStr">
        <is>
          <t>w/v</t>
        </is>
      </c>
      <c r="I7" t="inlineStr">
        <is>
          <t>w/v%</t>
        </is>
      </c>
      <c r="J7" t="inlineStr">
        <is>
          <t>mass_volume_percent</t>
        </is>
      </c>
      <c r="K7" t="inlineStr">
        <is>
          <t>unknown</t>
        </is>
      </c>
      <c r="L7" t="inlineStr"/>
      <c r="M7" t="inlineStr"/>
      <c r="N7" t="inlineStr"/>
      <c r="O7" t="inlineStr"/>
      <c r="P7" t="inlineStr">
        <is>
          <t>unknown</t>
        </is>
      </c>
      <c r="Q7" t="inlineStr"/>
      <c r="R7" t="inlineStr">
        <is>
          <t>unknown</t>
        </is>
      </c>
      <c r="S7" t="inlineStr"/>
      <c r="T7" t="inlineStr">
        <is>
          <t>NEED_TRACEBACK</t>
        </is>
      </c>
      <c r="U7" t="inlineStr">
        <is>
          <t>w/v% requires density_solution</t>
        </is>
      </c>
      <c r="V7" t="inlineStr"/>
      <c r="W7" t="inlineStr">
        <is>
          <t>wt%</t>
        </is>
      </c>
      <c r="X7" t="inlineStr">
        <is>
          <t>FAILED_PARSE</t>
        </is>
      </c>
      <c r="Y7" t="inlineStr"/>
    </row>
    <row r="8">
      <c r="A8" t="n">
        <v>1</v>
      </c>
      <c r="B8" t="inlineStr">
        <is>
          <t>test_nacl</t>
        </is>
      </c>
      <c r="C8" t="inlineStr">
        <is>
          <t>NaCl</t>
        </is>
      </c>
      <c r="D8" t="inlineStr">
        <is>
          <t>nacl</t>
        </is>
      </c>
      <c r="E8" t="inlineStr"/>
      <c r="F8" t="inlineStr"/>
      <c r="G8" t="n">
        <v>2000</v>
      </c>
      <c r="H8" t="inlineStr">
        <is>
          <t>ppm</t>
        </is>
      </c>
      <c r="I8" t="inlineStr">
        <is>
          <t>ppm</t>
        </is>
      </c>
      <c r="J8" t="inlineStr">
        <is>
          <t>ppm_family</t>
        </is>
      </c>
      <c r="K8" t="inlineStr">
        <is>
          <t>aqueous</t>
        </is>
      </c>
      <c r="L8" t="inlineStr"/>
      <c r="M8" t="inlineStr"/>
      <c r="N8" t="inlineStr"/>
      <c r="O8" t="inlineStr"/>
      <c r="P8" t="inlineStr">
        <is>
          <t>unknown</t>
        </is>
      </c>
      <c r="Q8" t="inlineStr"/>
      <c r="R8" t="inlineStr"/>
      <c r="S8" t="n">
        <v>0.2</v>
      </c>
      <c r="T8" t="inlineStr">
        <is>
          <t>ASSUMED_CONVERTED</t>
        </is>
      </c>
      <c r="U8" t="inlineStr">
        <is>
          <t>ppm to wt% (aqueous dilute assumption)</t>
        </is>
      </c>
      <c r="V8" t="inlineStr"/>
      <c r="W8" t="inlineStr">
        <is>
          <t>wt%</t>
        </is>
      </c>
      <c r="X8" t="inlineStr">
        <is>
          <t>FAILED_PARSE</t>
        </is>
      </c>
      <c r="Y8" t="inlineStr"/>
    </row>
    <row r="9">
      <c r="A9" t="n">
        <v>2</v>
      </c>
      <c r="B9" t="inlineStr">
        <is>
          <t>aqueous_monomer</t>
        </is>
      </c>
      <c r="C9" t="inlineStr">
        <is>
          <t>MPD</t>
        </is>
      </c>
      <c r="D9" t="inlineStr">
        <is>
          <t>mpd</t>
        </is>
      </c>
      <c r="E9" t="inlineStr"/>
      <c r="F9" t="inlineStr"/>
      <c r="G9" t="n">
        <v>0.5</v>
      </c>
      <c r="H9" t="inlineStr">
        <is>
          <t>% by mass</t>
        </is>
      </c>
      <c r="I9" t="inlineStr">
        <is>
          <t>wt%</t>
        </is>
      </c>
      <c r="J9" t="inlineStr">
        <is>
          <t>mass_fraction</t>
        </is>
      </c>
      <c r="K9" t="inlineStr">
        <is>
          <t>aqueous</t>
        </is>
      </c>
      <c r="L9" t="inlineStr"/>
      <c r="M9" t="inlineStr"/>
      <c r="N9" t="inlineStr"/>
      <c r="O9" t="inlineStr"/>
      <c r="P9" t="inlineStr">
        <is>
          <t>unknown</t>
        </is>
      </c>
      <c r="Q9" t="inlineStr"/>
      <c r="R9" t="inlineStr"/>
      <c r="S9" t="n">
        <v>0.5</v>
      </c>
      <c r="T9" t="inlineStr">
        <is>
          <t>DIRECT_WT</t>
        </is>
      </c>
      <c r="U9" t="inlineStr">
        <is>
          <t>original unit is mass fraction</t>
        </is>
      </c>
      <c r="V9" t="inlineStr"/>
      <c r="W9" t="inlineStr">
        <is>
          <t>wt%</t>
        </is>
      </c>
      <c r="X9" t="inlineStr">
        <is>
          <t>FAILED_PARSE</t>
        </is>
      </c>
      <c r="Y9" t="inlineStr"/>
    </row>
    <row r="10">
      <c r="A10" t="n">
        <v>2</v>
      </c>
      <c r="B10" t="inlineStr">
        <is>
          <t>organic_monomer</t>
        </is>
      </c>
      <c r="C10" t="inlineStr">
        <is>
          <t>TMC</t>
        </is>
      </c>
      <c r="D10" t="inlineStr">
        <is>
          <t>tmc</t>
        </is>
      </c>
      <c r="E10" t="inlineStr"/>
      <c r="F10" t="inlineStr"/>
      <c r="G10" t="n">
        <v>0.05</v>
      </c>
      <c r="H10" t="inlineStr">
        <is>
          <t>% by mass</t>
        </is>
      </c>
      <c r="I10" t="inlineStr">
        <is>
          <t>wt%</t>
        </is>
      </c>
      <c r="J10" t="inlineStr">
        <is>
          <t>mass_fraction</t>
        </is>
      </c>
      <c r="K10" t="inlineStr">
        <is>
          <t>organic</t>
        </is>
      </c>
      <c r="L10" t="inlineStr"/>
      <c r="M10" t="inlineStr"/>
      <c r="N10" t="inlineStr"/>
      <c r="O10" t="inlineStr"/>
      <c r="P10" t="inlineStr">
        <is>
          <t>unknown</t>
        </is>
      </c>
      <c r="Q10" t="inlineStr"/>
      <c r="R10" t="inlineStr"/>
      <c r="S10" t="n">
        <v>0.05</v>
      </c>
      <c r="T10" t="inlineStr">
        <is>
          <t>DIRECT_WT</t>
        </is>
      </c>
      <c r="U10" t="inlineStr">
        <is>
          <t>original unit is mass fraction</t>
        </is>
      </c>
      <c r="V10" t="inlineStr"/>
      <c r="W10" t="inlineStr">
        <is>
          <t>wt%</t>
        </is>
      </c>
      <c r="X10" t="inlineStr">
        <is>
          <t>FAILED_PARSE</t>
        </is>
      </c>
      <c r="Y10" t="inlineStr"/>
    </row>
    <row r="11">
      <c r="A11" t="n">
        <v>2</v>
      </c>
      <c r="B11" t="inlineStr">
        <is>
          <t>test_nacl</t>
        </is>
      </c>
      <c r="C11" t="inlineStr">
        <is>
          <t>NaCl</t>
        </is>
      </c>
      <c r="D11" t="inlineStr">
        <is>
          <t>nacl</t>
        </is>
      </c>
      <c r="E11" t="inlineStr"/>
      <c r="F11" t="inlineStr"/>
      <c r="G11" t="n">
        <v>2000</v>
      </c>
      <c r="H11" t="inlineStr">
        <is>
          <t>ppm</t>
        </is>
      </c>
      <c r="I11" t="inlineStr">
        <is>
          <t>ppm</t>
        </is>
      </c>
      <c r="J11" t="inlineStr">
        <is>
          <t>ppm_family</t>
        </is>
      </c>
      <c r="K11" t="inlineStr">
        <is>
          <t>aqueous</t>
        </is>
      </c>
      <c r="L11" t="inlineStr"/>
      <c r="M11" t="inlineStr"/>
      <c r="N11" t="inlineStr"/>
      <c r="O11" t="inlineStr"/>
      <c r="P11" t="inlineStr">
        <is>
          <t>unknown</t>
        </is>
      </c>
      <c r="Q11" t="inlineStr"/>
      <c r="R11" t="inlineStr"/>
      <c r="S11" t="n">
        <v>0.2</v>
      </c>
      <c r="T11" t="inlineStr">
        <is>
          <t>ASSUMED_CONVERTED</t>
        </is>
      </c>
      <c r="U11" t="inlineStr">
        <is>
          <t>ppm to wt% (aqueous dilute assumption)</t>
        </is>
      </c>
      <c r="V11" t="inlineStr"/>
      <c r="W11" t="inlineStr">
        <is>
          <t>wt%</t>
        </is>
      </c>
      <c r="X11" t="inlineStr">
        <is>
          <t>FAILED_PARSE</t>
        </is>
      </c>
      <c r="Y11" t="inlineStr"/>
    </row>
    <row r="12">
      <c r="A12" t="n">
        <v>3</v>
      </c>
      <c r="B12" t="inlineStr">
        <is>
          <t>additive</t>
        </is>
      </c>
      <c r="C12" t="inlineStr">
        <is>
          <t>NaCl</t>
        </is>
      </c>
      <c r="D12" t="inlineStr">
        <is>
          <t>nacl</t>
        </is>
      </c>
      <c r="E12" t="inlineStr"/>
      <c r="F12" t="inlineStr"/>
      <c r="G12" t="n">
        <v>0.5</v>
      </c>
      <c r="H12" t="inlineStr">
        <is>
          <t>M</t>
        </is>
      </c>
      <c r="I12" t="inlineStr">
        <is>
          <t>wt%</t>
        </is>
      </c>
      <c r="J12" t="inlineStr">
        <is>
          <t>mass_fraction</t>
        </is>
      </c>
      <c r="K12" t="inlineStr">
        <is>
          <t>unknown</t>
        </is>
      </c>
      <c r="L12" t="inlineStr"/>
      <c r="M12" t="inlineStr"/>
      <c r="N12" t="inlineStr"/>
      <c r="O12" t="inlineStr"/>
      <c r="P12" t="inlineStr">
        <is>
          <t>unknown</t>
        </is>
      </c>
      <c r="Q12" t="inlineStr"/>
      <c r="R12" t="inlineStr"/>
      <c r="S12" t="n">
        <v>0.5</v>
      </c>
      <c r="T12" t="inlineStr">
        <is>
          <t>DIRECT_WT</t>
        </is>
      </c>
      <c r="U12" t="inlineStr">
        <is>
          <t>original unit is mass fraction</t>
        </is>
      </c>
      <c r="V12" t="inlineStr"/>
      <c r="W12" t="inlineStr">
        <is>
          <t>wt%</t>
        </is>
      </c>
      <c r="X12" t="inlineStr">
        <is>
          <t>FAILED_PARSE</t>
        </is>
      </c>
      <c r="Y12" t="inlineStr"/>
    </row>
    <row r="13">
      <c r="A13" t="n">
        <v>3</v>
      </c>
      <c r="B13" t="inlineStr">
        <is>
          <t>modifier</t>
        </is>
      </c>
      <c r="C13" t="inlineStr">
        <is>
          <t>PEI</t>
        </is>
      </c>
      <c r="D13" t="inlineStr">
        <is>
          <t>pei</t>
        </is>
      </c>
      <c r="E13" t="inlineStr"/>
      <c r="F13" t="inlineStr"/>
      <c r="G13" t="n">
        <v>0.1</v>
      </c>
      <c r="H13" t="inlineStr">
        <is>
          <t>wt%</t>
        </is>
      </c>
      <c r="I13" t="inlineStr">
        <is>
          <t>wt%</t>
        </is>
      </c>
      <c r="J13" t="inlineStr">
        <is>
          <t>mass_fraction</t>
        </is>
      </c>
      <c r="K13" t="inlineStr">
        <is>
          <t>unknown</t>
        </is>
      </c>
      <c r="L13" t="inlineStr"/>
      <c r="M13" t="inlineStr"/>
      <c r="N13" t="inlineStr"/>
      <c r="O13" t="inlineStr"/>
      <c r="P13" t="inlineStr">
        <is>
          <t>unknown</t>
        </is>
      </c>
      <c r="Q13" t="inlineStr"/>
      <c r="R13" t="inlineStr"/>
      <c r="S13" t="n">
        <v>0.1</v>
      </c>
      <c r="T13" t="inlineStr">
        <is>
          <t>DIRECT_WT</t>
        </is>
      </c>
      <c r="U13" t="inlineStr">
        <is>
          <t>original unit is mass fraction</t>
        </is>
      </c>
      <c r="V13" t="inlineStr"/>
      <c r="W13" t="inlineStr">
        <is>
          <t>wt%</t>
        </is>
      </c>
      <c r="X13" t="inlineStr">
        <is>
          <t>FAILED_PARSE</t>
        </is>
      </c>
      <c r="Y13" t="inlineStr"/>
    </row>
    <row r="14">
      <c r="A14" t="n">
        <v>3</v>
      </c>
      <c r="B14" t="inlineStr">
        <is>
          <t>modifier</t>
        </is>
      </c>
      <c r="C14" t="inlineStr">
        <is>
          <t>PAA</t>
        </is>
      </c>
      <c r="D14" t="inlineStr">
        <is>
          <t>paa</t>
        </is>
      </c>
      <c r="E14" t="inlineStr"/>
      <c r="F14" t="inlineStr"/>
      <c r="G14" t="n">
        <v>0.1</v>
      </c>
      <c r="H14" t="inlineStr">
        <is>
          <t>wt%</t>
        </is>
      </c>
      <c r="I14" t="inlineStr">
        <is>
          <t>wt%</t>
        </is>
      </c>
      <c r="J14" t="inlineStr">
        <is>
          <t>mass_fraction</t>
        </is>
      </c>
      <c r="K14" t="inlineStr">
        <is>
          <t>unknown</t>
        </is>
      </c>
      <c r="L14" t="inlineStr"/>
      <c r="M14" t="inlineStr"/>
      <c r="N14" t="inlineStr"/>
      <c r="O14" t="inlineStr"/>
      <c r="P14" t="inlineStr">
        <is>
          <t>unknown</t>
        </is>
      </c>
      <c r="Q14" t="inlineStr"/>
      <c r="R14" t="inlineStr"/>
      <c r="S14" t="n">
        <v>0.1</v>
      </c>
      <c r="T14" t="inlineStr">
        <is>
          <t>DIRECT_WT</t>
        </is>
      </c>
      <c r="U14" t="inlineStr">
        <is>
          <t>original unit is mass fraction</t>
        </is>
      </c>
      <c r="V14" t="inlineStr"/>
      <c r="W14" t="inlineStr">
        <is>
          <t>wt%</t>
        </is>
      </c>
      <c r="X14" t="inlineStr">
        <is>
          <t>FAILED_PARSE</t>
        </is>
      </c>
      <c r="Y14" t="inlineStr"/>
    </row>
    <row r="15">
      <c r="A15" t="n">
        <v>3</v>
      </c>
      <c r="B15" t="inlineStr">
        <is>
          <t>test_nacl</t>
        </is>
      </c>
      <c r="C15" t="inlineStr">
        <is>
          <t>NaCl</t>
        </is>
      </c>
      <c r="D15" t="inlineStr">
        <is>
          <t>nacl</t>
        </is>
      </c>
      <c r="E15" t="inlineStr"/>
      <c r="F15" t="inlineStr"/>
      <c r="G15" t="n">
        <v>2000</v>
      </c>
      <c r="H15" t="inlineStr">
        <is>
          <t>ppm</t>
        </is>
      </c>
      <c r="I15" t="inlineStr">
        <is>
          <t>ppm</t>
        </is>
      </c>
      <c r="J15" t="inlineStr">
        <is>
          <t>ppm_family</t>
        </is>
      </c>
      <c r="K15" t="inlineStr">
        <is>
          <t>aqueous</t>
        </is>
      </c>
      <c r="L15" t="inlineStr"/>
      <c r="M15" t="inlineStr"/>
      <c r="N15" t="inlineStr"/>
      <c r="O15" t="inlineStr"/>
      <c r="P15" t="inlineStr">
        <is>
          <t>unknown</t>
        </is>
      </c>
      <c r="Q15" t="inlineStr"/>
      <c r="R15" t="inlineStr"/>
      <c r="S15" t="n">
        <v>0.2</v>
      </c>
      <c r="T15" t="inlineStr">
        <is>
          <t>ASSUMED_CONVERTED</t>
        </is>
      </c>
      <c r="U15" t="inlineStr">
        <is>
          <t>ppm to wt% (aqueous dilute assumption)</t>
        </is>
      </c>
      <c r="V15" t="inlineStr"/>
      <c r="W15" t="inlineStr">
        <is>
          <t>wt%</t>
        </is>
      </c>
      <c r="X15" t="inlineStr">
        <is>
          <t>FAILED_PARSE</t>
        </is>
      </c>
      <c r="Y15" t="inlineStr"/>
    </row>
    <row r="16">
      <c r="A16" t="n">
        <v>4</v>
      </c>
      <c r="B16" t="inlineStr">
        <is>
          <t>aqueous_monomer</t>
        </is>
      </c>
      <c r="C16" t="inlineStr">
        <is>
          <t>MPD</t>
        </is>
      </c>
      <c r="D16" t="inlineStr">
        <is>
          <t>mpd</t>
        </is>
      </c>
      <c r="E16" t="inlineStr"/>
      <c r="F16" t="inlineStr"/>
      <c r="G16" t="n">
        <v>4.6</v>
      </c>
      <c r="H16" t="inlineStr">
        <is>
          <t>w/v%</t>
        </is>
      </c>
      <c r="I16" t="inlineStr">
        <is>
          <t>w/v%</t>
        </is>
      </c>
      <c r="J16" t="inlineStr">
        <is>
          <t>mass_volume_percent</t>
        </is>
      </c>
      <c r="K16" t="inlineStr">
        <is>
          <t>aqueous</t>
        </is>
      </c>
      <c r="L16" t="inlineStr"/>
      <c r="M16" t="inlineStr"/>
      <c r="N16" t="inlineStr"/>
      <c r="O16" t="inlineStr"/>
      <c r="P16" t="inlineStr">
        <is>
          <t>unknown</t>
        </is>
      </c>
      <c r="Q16" t="n">
        <v>1</v>
      </c>
      <c r="R16" t="inlineStr">
        <is>
          <t>aqueous_dilute_approx</t>
        </is>
      </c>
      <c r="S16" t="n">
        <v>0.046</v>
      </c>
      <c r="T16" t="inlineStr">
        <is>
          <t>SAFE_CONVERTED</t>
        </is>
      </c>
      <c r="U16" t="inlineStr">
        <is>
          <t>w/v% to wt% (rho=1.0 from aqueous_dilute_approx)</t>
        </is>
      </c>
      <c r="V16" t="inlineStr"/>
      <c r="W16" t="inlineStr">
        <is>
          <t>wt%</t>
        </is>
      </c>
      <c r="X16" t="inlineStr">
        <is>
          <t>FAILED_PARSE</t>
        </is>
      </c>
      <c r="Y16" t="inlineStr"/>
    </row>
    <row r="17">
      <c r="A17" t="n">
        <v>4</v>
      </c>
      <c r="B17" t="inlineStr">
        <is>
          <t>organic_monomer</t>
        </is>
      </c>
      <c r="C17" t="inlineStr">
        <is>
          <t>TMC</t>
        </is>
      </c>
      <c r="D17" t="inlineStr">
        <is>
          <t>tmc</t>
        </is>
      </c>
      <c r="E17" t="inlineStr"/>
      <c r="F17" t="inlineStr"/>
      <c r="G17" t="n">
        <v>0.12</v>
      </c>
      <c r="H17" t="inlineStr">
        <is>
          <t>w/v%</t>
        </is>
      </c>
      <c r="I17" t="inlineStr">
        <is>
          <t>w/v%</t>
        </is>
      </c>
      <c r="J17" t="inlineStr">
        <is>
          <t>mass_volume_percent</t>
        </is>
      </c>
      <c r="K17" t="inlineStr">
        <is>
          <t>organic</t>
        </is>
      </c>
      <c r="L17" t="inlineStr"/>
      <c r="M17" t="inlineStr"/>
      <c r="N17" t="inlineStr"/>
      <c r="O17" t="inlineStr"/>
      <c r="P17" t="inlineStr">
        <is>
          <t>unknown</t>
        </is>
      </c>
      <c r="Q17" t="inlineStr"/>
      <c r="R17" t="inlineStr">
        <is>
          <t>organic_solvent_unknown</t>
        </is>
      </c>
      <c r="S17" t="inlineStr"/>
      <c r="T17" t="inlineStr">
        <is>
          <t>NEED_TRACEBACK</t>
        </is>
      </c>
      <c r="U17" t="inlineStr">
        <is>
          <t>w/v% requires density_solution</t>
        </is>
      </c>
      <c r="V17" t="inlineStr"/>
      <c r="W17" t="inlineStr">
        <is>
          <t>wt%</t>
        </is>
      </c>
      <c r="X17" t="inlineStr">
        <is>
          <t>FAILED_PARSE</t>
        </is>
      </c>
      <c r="Y17" t="inlineStr"/>
    </row>
    <row r="18">
      <c r="A18" t="n">
        <v>4</v>
      </c>
      <c r="B18" t="inlineStr">
        <is>
          <t>additive</t>
        </is>
      </c>
      <c r="C18" t="inlineStr">
        <is>
          <t>TEA</t>
        </is>
      </c>
      <c r="D18" t="inlineStr">
        <is>
          <t>tea</t>
        </is>
      </c>
      <c r="E18" t="inlineStr"/>
      <c r="F18" t="inlineStr"/>
      <c r="G18" t="n">
        <v>1.1</v>
      </c>
      <c r="H18" t="inlineStr">
        <is>
          <t>w/v%</t>
        </is>
      </c>
      <c r="I18" t="inlineStr">
        <is>
          <t>w/v%</t>
        </is>
      </c>
      <c r="J18" t="inlineStr">
        <is>
          <t>mass_volume_percent</t>
        </is>
      </c>
      <c r="K18" t="inlineStr">
        <is>
          <t>unknown</t>
        </is>
      </c>
      <c r="L18" t="inlineStr"/>
      <c r="M18" t="inlineStr"/>
      <c r="N18" t="inlineStr"/>
      <c r="O18" t="inlineStr"/>
      <c r="P18" t="inlineStr">
        <is>
          <t>unknown</t>
        </is>
      </c>
      <c r="Q18" t="inlineStr"/>
      <c r="R18" t="inlineStr">
        <is>
          <t>unknown</t>
        </is>
      </c>
      <c r="S18" t="inlineStr"/>
      <c r="T18" t="inlineStr">
        <is>
          <t>NEED_TRACEBACK</t>
        </is>
      </c>
      <c r="U18" t="inlineStr">
        <is>
          <t>w/v% requires density_solution</t>
        </is>
      </c>
      <c r="V18" t="inlineStr"/>
      <c r="W18" t="inlineStr">
        <is>
          <t>wt%</t>
        </is>
      </c>
      <c r="X18" t="inlineStr">
        <is>
          <t>FAILED_PARSE</t>
        </is>
      </c>
      <c r="Y18" t="inlineStr"/>
    </row>
    <row r="19">
      <c r="A19" t="n">
        <v>4</v>
      </c>
      <c r="B19" t="inlineStr">
        <is>
          <t>additive</t>
        </is>
      </c>
      <c r="C19" t="inlineStr">
        <is>
          <t>CSA</t>
        </is>
      </c>
      <c r="D19" t="inlineStr">
        <is>
          <t>csa</t>
        </is>
      </c>
      <c r="E19" t="inlineStr"/>
      <c r="F19" t="inlineStr"/>
      <c r="G19" t="n">
        <v>2.6</v>
      </c>
      <c r="H19" t="inlineStr">
        <is>
          <t>w/v%</t>
        </is>
      </c>
      <c r="I19" t="inlineStr">
        <is>
          <t>w/v%</t>
        </is>
      </c>
      <c r="J19" t="inlineStr">
        <is>
          <t>mass_volume_percent</t>
        </is>
      </c>
      <c r="K19" t="inlineStr">
        <is>
          <t>unknown</t>
        </is>
      </c>
      <c r="L19" t="inlineStr"/>
      <c r="M19" t="inlineStr"/>
      <c r="N19" t="inlineStr"/>
      <c r="O19" t="inlineStr"/>
      <c r="P19" t="inlineStr">
        <is>
          <t>unknown</t>
        </is>
      </c>
      <c r="Q19" t="inlineStr"/>
      <c r="R19" t="inlineStr">
        <is>
          <t>unknown</t>
        </is>
      </c>
      <c r="S19" t="inlineStr"/>
      <c r="T19" t="inlineStr">
        <is>
          <t>NEED_TRACEBACK</t>
        </is>
      </c>
      <c r="U19" t="inlineStr">
        <is>
          <t>w/v% requires density_solution</t>
        </is>
      </c>
      <c r="V19" t="inlineStr"/>
      <c r="W19" t="inlineStr">
        <is>
          <t>wt%</t>
        </is>
      </c>
      <c r="X19" t="inlineStr">
        <is>
          <t>FAILED_PARSE</t>
        </is>
      </c>
      <c r="Y19" t="inlineStr"/>
    </row>
    <row r="20">
      <c r="A20" t="n">
        <v>4</v>
      </c>
      <c r="B20" t="inlineStr">
        <is>
          <t>additive</t>
        </is>
      </c>
      <c r="C20" t="inlineStr">
        <is>
          <t>TA</t>
        </is>
      </c>
      <c r="D20" t="inlineStr">
        <is>
          <t>ta</t>
        </is>
      </c>
      <c r="E20" t="inlineStr"/>
      <c r="F20" t="inlineStr"/>
      <c r="G20" t="n">
        <v>0.25</v>
      </c>
      <c r="H20" t="inlineStr">
        <is>
          <t>w/w%</t>
        </is>
      </c>
      <c r="I20" t="inlineStr">
        <is>
          <t>wt%</t>
        </is>
      </c>
      <c r="J20" t="inlineStr">
        <is>
          <t>mass_fraction</t>
        </is>
      </c>
      <c r="K20" t="inlineStr">
        <is>
          <t>unknown</t>
        </is>
      </c>
      <c r="L20" t="inlineStr"/>
      <c r="M20" t="inlineStr"/>
      <c r="N20" t="inlineStr"/>
      <c r="O20" t="inlineStr"/>
      <c r="P20" t="inlineStr">
        <is>
          <t>unknown</t>
        </is>
      </c>
      <c r="Q20" t="inlineStr"/>
      <c r="R20" t="inlineStr"/>
      <c r="S20" t="n">
        <v>0.25</v>
      </c>
      <c r="T20" t="inlineStr">
        <is>
          <t>DIRECT_WT</t>
        </is>
      </c>
      <c r="U20" t="inlineStr">
        <is>
          <t>original unit is mass fraction</t>
        </is>
      </c>
      <c r="V20" t="inlineStr"/>
      <c r="W20" t="inlineStr">
        <is>
          <t>wt%</t>
        </is>
      </c>
      <c r="X20" t="inlineStr">
        <is>
          <t>FAILED_PARSE</t>
        </is>
      </c>
      <c r="Y20" t="inlineStr"/>
    </row>
    <row r="21">
      <c r="A21" t="n">
        <v>4</v>
      </c>
      <c r="B21" t="inlineStr">
        <is>
          <t>additive</t>
        </is>
      </c>
      <c r="C21" t="inlineStr">
        <is>
          <t>DMC</t>
        </is>
      </c>
      <c r="D21" t="inlineStr">
        <is>
          <t>dmc</t>
        </is>
      </c>
      <c r="E21" t="inlineStr"/>
      <c r="F21" t="inlineStr"/>
      <c r="G21" t="n">
        <v>1</v>
      </c>
      <c r="H21" t="inlineStr">
        <is>
          <t>w/v%</t>
        </is>
      </c>
      <c r="I21" t="inlineStr">
        <is>
          <t>w/v%</t>
        </is>
      </c>
      <c r="J21" t="inlineStr">
        <is>
          <t>mass_volume_percent</t>
        </is>
      </c>
      <c r="K21" t="inlineStr">
        <is>
          <t>unknown</t>
        </is>
      </c>
      <c r="L21" t="inlineStr"/>
      <c r="M21" t="inlineStr"/>
      <c r="N21" t="inlineStr"/>
      <c r="O21" t="inlineStr"/>
      <c r="P21" t="inlineStr">
        <is>
          <t>unknown</t>
        </is>
      </c>
      <c r="Q21" t="inlineStr"/>
      <c r="R21" t="inlineStr">
        <is>
          <t>unknown</t>
        </is>
      </c>
      <c r="S21" t="inlineStr"/>
      <c r="T21" t="inlineStr">
        <is>
          <t>NEED_TRACEBACK</t>
        </is>
      </c>
      <c r="U21" t="inlineStr">
        <is>
          <t>w/v% requires density_solution</t>
        </is>
      </c>
      <c r="V21" t="inlineStr"/>
      <c r="W21" t="inlineStr">
        <is>
          <t>wt%</t>
        </is>
      </c>
      <c r="X21" t="inlineStr">
        <is>
          <t>FAILED_PARSE</t>
        </is>
      </c>
      <c r="Y21" t="inlineStr"/>
    </row>
    <row r="22">
      <c r="A22" t="n">
        <v>4</v>
      </c>
      <c r="B22" t="inlineStr">
        <is>
          <t>test_nacl</t>
        </is>
      </c>
      <c r="C22" t="inlineStr">
        <is>
          <t>NaCl</t>
        </is>
      </c>
      <c r="D22" t="inlineStr">
        <is>
          <t>nacl</t>
        </is>
      </c>
      <c r="E22" t="inlineStr"/>
      <c r="F22" t="inlineStr"/>
      <c r="G22" t="n">
        <v>2000</v>
      </c>
      <c r="H22" t="inlineStr">
        <is>
          <t>ppm</t>
        </is>
      </c>
      <c r="I22" t="inlineStr">
        <is>
          <t>ppm</t>
        </is>
      </c>
      <c r="J22" t="inlineStr">
        <is>
          <t>ppm_family</t>
        </is>
      </c>
      <c r="K22" t="inlineStr">
        <is>
          <t>aqueous</t>
        </is>
      </c>
      <c r="L22" t="inlineStr"/>
      <c r="M22" t="inlineStr"/>
      <c r="N22" t="inlineStr"/>
      <c r="O22" t="inlineStr"/>
      <c r="P22" t="inlineStr">
        <is>
          <t>unknown</t>
        </is>
      </c>
      <c r="Q22" t="inlineStr"/>
      <c r="R22" t="inlineStr"/>
      <c r="S22" t="n">
        <v>0.2</v>
      </c>
      <c r="T22" t="inlineStr">
        <is>
          <t>ASSUMED_CONVERTED</t>
        </is>
      </c>
      <c r="U22" t="inlineStr">
        <is>
          <t>ppm to wt% (aqueous dilute assumption)</t>
        </is>
      </c>
      <c r="V22" t="inlineStr"/>
      <c r="W22" t="inlineStr">
        <is>
          <t>wt%</t>
        </is>
      </c>
      <c r="X22" t="inlineStr">
        <is>
          <t>FAILED_PARSE</t>
        </is>
      </c>
      <c r="Y22" t="inlineStr"/>
    </row>
    <row r="23">
      <c r="A23" t="n">
        <v>5</v>
      </c>
      <c r="B23" t="inlineStr">
        <is>
          <t>aqueous_monomer</t>
        </is>
      </c>
      <c r="C23" t="inlineStr">
        <is>
          <t>MPD</t>
        </is>
      </c>
      <c r="D23" t="inlineStr">
        <is>
          <t>mpd</t>
        </is>
      </c>
      <c r="E23" t="inlineStr"/>
      <c r="F23" t="inlineStr"/>
      <c r="G23" t="n">
        <v>3.5</v>
      </c>
      <c r="H23" t="inlineStr">
        <is>
          <t>wt%</t>
        </is>
      </c>
      <c r="I23" t="inlineStr">
        <is>
          <t>wt%</t>
        </is>
      </c>
      <c r="J23" t="inlineStr">
        <is>
          <t>mass_fraction</t>
        </is>
      </c>
      <c r="K23" t="inlineStr">
        <is>
          <t>aqueous</t>
        </is>
      </c>
      <c r="L23" t="inlineStr"/>
      <c r="M23" t="inlineStr"/>
      <c r="N23" t="inlineStr"/>
      <c r="O23" t="inlineStr"/>
      <c r="P23" t="inlineStr">
        <is>
          <t>unknown</t>
        </is>
      </c>
      <c r="Q23" t="inlineStr"/>
      <c r="R23" t="inlineStr"/>
      <c r="S23" t="n">
        <v>3.5</v>
      </c>
      <c r="T23" t="inlineStr">
        <is>
          <t>DIRECT_WT</t>
        </is>
      </c>
      <c r="U23" t="inlineStr">
        <is>
          <t>original unit is mass fraction</t>
        </is>
      </c>
      <c r="V23" t="inlineStr"/>
      <c r="W23" t="inlineStr">
        <is>
          <t>wt%</t>
        </is>
      </c>
      <c r="X23" t="inlineStr">
        <is>
          <t>FAILED_PARSE</t>
        </is>
      </c>
      <c r="Y23" t="inlineStr"/>
    </row>
    <row r="24">
      <c r="A24" t="n">
        <v>5</v>
      </c>
      <c r="B24" t="inlineStr">
        <is>
          <t>organic_monomer</t>
        </is>
      </c>
      <c r="C24" t="inlineStr">
        <is>
          <t>TMC</t>
        </is>
      </c>
      <c r="D24" t="inlineStr">
        <is>
          <t>tmc</t>
        </is>
      </c>
      <c r="E24" t="inlineStr"/>
      <c r="F24" t="inlineStr"/>
      <c r="G24" t="n">
        <v>0.2</v>
      </c>
      <c r="H24" t="inlineStr">
        <is>
          <t>wt%</t>
        </is>
      </c>
      <c r="I24" t="inlineStr">
        <is>
          <t>wt%</t>
        </is>
      </c>
      <c r="J24" t="inlineStr">
        <is>
          <t>mass_fraction</t>
        </is>
      </c>
      <c r="K24" t="inlineStr">
        <is>
          <t>organic</t>
        </is>
      </c>
      <c r="L24" t="inlineStr"/>
      <c r="M24" t="inlineStr"/>
      <c r="N24" t="inlineStr"/>
      <c r="O24" t="inlineStr"/>
      <c r="P24" t="inlineStr">
        <is>
          <t>unknown</t>
        </is>
      </c>
      <c r="Q24" t="inlineStr"/>
      <c r="R24" t="inlineStr"/>
      <c r="S24" t="n">
        <v>0.2</v>
      </c>
      <c r="T24" t="inlineStr">
        <is>
          <t>DIRECT_WT</t>
        </is>
      </c>
      <c r="U24" t="inlineStr">
        <is>
          <t>original unit is mass fraction</t>
        </is>
      </c>
      <c r="V24" t="inlineStr"/>
      <c r="W24" t="inlineStr">
        <is>
          <t>wt%</t>
        </is>
      </c>
      <c r="X24" t="inlineStr">
        <is>
          <t>FAILED_PARSE</t>
        </is>
      </c>
      <c r="Y24" t="inlineStr"/>
    </row>
    <row r="25">
      <c r="A25" t="n">
        <v>5</v>
      </c>
      <c r="B25" t="inlineStr">
        <is>
          <t>additive</t>
        </is>
      </c>
      <c r="C25" t="inlineStr">
        <is>
          <t>DOPC liposomes (OG-assisted)</t>
        </is>
      </c>
      <c r="D25" t="inlineStr">
        <is>
          <t>dopcliposomesog-assisted</t>
        </is>
      </c>
      <c r="E25" t="inlineStr"/>
      <c r="F25" t="inlineStr"/>
      <c r="G25" t="n">
        <v>0.75</v>
      </c>
      <c r="H25" t="inlineStr">
        <is>
          <t>mg/mL</t>
        </is>
      </c>
      <c r="I25" t="inlineStr">
        <is>
          <t>mg/mL</t>
        </is>
      </c>
      <c r="J25" t="inlineStr">
        <is>
          <t>mass_concentration</t>
        </is>
      </c>
      <c r="K25" t="inlineStr">
        <is>
          <t>unknown</t>
        </is>
      </c>
      <c r="L25" t="inlineStr"/>
      <c r="M25" t="inlineStr"/>
      <c r="N25" t="inlineStr"/>
      <c r="O25" t="inlineStr"/>
      <c r="P25" t="inlineStr">
        <is>
          <t>unknown</t>
        </is>
      </c>
      <c r="Q25" t="inlineStr"/>
      <c r="R25" t="inlineStr">
        <is>
          <t>unknown</t>
        </is>
      </c>
      <c r="S25" t="inlineStr"/>
      <c r="T25" t="inlineStr">
        <is>
          <t>NEED_TRACEBACK</t>
        </is>
      </c>
      <c r="U25" t="inlineStr">
        <is>
          <t>mass_concentration requires density_solution</t>
        </is>
      </c>
      <c r="V25" t="inlineStr"/>
      <c r="W25" t="inlineStr">
        <is>
          <t>wt%</t>
        </is>
      </c>
      <c r="X25" t="inlineStr">
        <is>
          <t>FAILED_PARSE</t>
        </is>
      </c>
      <c r="Y25" t="inlineStr"/>
    </row>
    <row r="26">
      <c r="A26" t="n">
        <v>5</v>
      </c>
      <c r="B26" t="inlineStr">
        <is>
          <t>test_nacl</t>
        </is>
      </c>
      <c r="C26" t="inlineStr">
        <is>
          <t>NaCl</t>
        </is>
      </c>
      <c r="D26" t="inlineStr">
        <is>
          <t>nacl</t>
        </is>
      </c>
      <c r="E26" t="inlineStr"/>
      <c r="F26" t="inlineStr"/>
      <c r="G26" t="n">
        <v>35000</v>
      </c>
      <c r="H26" t="inlineStr">
        <is>
          <t>ppm</t>
        </is>
      </c>
      <c r="I26" t="inlineStr">
        <is>
          <t>ppm</t>
        </is>
      </c>
      <c r="J26" t="inlineStr">
        <is>
          <t>ppm_family</t>
        </is>
      </c>
      <c r="K26" t="inlineStr">
        <is>
          <t>aqueous</t>
        </is>
      </c>
      <c r="L26" t="inlineStr"/>
      <c r="M26" t="inlineStr"/>
      <c r="N26" t="inlineStr"/>
      <c r="O26" t="inlineStr"/>
      <c r="P26" t="inlineStr">
        <is>
          <t>unknown</t>
        </is>
      </c>
      <c r="Q26" t="inlineStr"/>
      <c r="R26" t="inlineStr"/>
      <c r="S26" t="n">
        <v>3.5</v>
      </c>
      <c r="T26" t="inlineStr">
        <is>
          <t>ASSUMED_CONVERTED</t>
        </is>
      </c>
      <c r="U26" t="inlineStr">
        <is>
          <t>ppm to wt% (aqueous dilute assumption)</t>
        </is>
      </c>
      <c r="V26" t="inlineStr"/>
      <c r="W26" t="inlineStr">
        <is>
          <t>wt%</t>
        </is>
      </c>
      <c r="X26" t="inlineStr">
        <is>
          <t>FAILED_PARSE</t>
        </is>
      </c>
      <c r="Y26" t="inlineStr"/>
    </row>
    <row r="27">
      <c r="A27" t="n">
        <v>6</v>
      </c>
      <c r="B27" t="inlineStr">
        <is>
          <t>aqueous_monomer</t>
        </is>
      </c>
      <c r="C27" t="inlineStr">
        <is>
          <t>MPD</t>
        </is>
      </c>
      <c r="D27" t="inlineStr">
        <is>
          <t>mpd</t>
        </is>
      </c>
      <c r="E27" t="inlineStr"/>
      <c r="F27" t="inlineStr"/>
      <c r="G27" t="n">
        <v>2</v>
      </c>
      <c r="H27" t="inlineStr">
        <is>
          <t>w/w%</t>
        </is>
      </c>
      <c r="I27" t="inlineStr">
        <is>
          <t>wt%</t>
        </is>
      </c>
      <c r="J27" t="inlineStr">
        <is>
          <t>mass_fraction</t>
        </is>
      </c>
      <c r="K27" t="inlineStr">
        <is>
          <t>aqueous</t>
        </is>
      </c>
      <c r="L27" t="inlineStr"/>
      <c r="M27" t="inlineStr"/>
      <c r="N27" t="inlineStr"/>
      <c r="O27" t="inlineStr"/>
      <c r="P27" t="inlineStr">
        <is>
          <t>unknown</t>
        </is>
      </c>
      <c r="Q27" t="inlineStr"/>
      <c r="R27" t="inlineStr"/>
      <c r="S27" t="n">
        <v>2</v>
      </c>
      <c r="T27" t="inlineStr">
        <is>
          <t>DIRECT_WT</t>
        </is>
      </c>
      <c r="U27" t="inlineStr">
        <is>
          <t>original unit is mass fraction</t>
        </is>
      </c>
      <c r="V27" t="inlineStr"/>
      <c r="W27" t="inlineStr">
        <is>
          <t>wt%</t>
        </is>
      </c>
      <c r="X27" t="inlineStr">
        <is>
          <t>FAILED_PARSE</t>
        </is>
      </c>
      <c r="Y27" t="inlineStr"/>
    </row>
    <row r="28">
      <c r="A28" t="n">
        <v>6</v>
      </c>
      <c r="B28" t="inlineStr">
        <is>
          <t>organic_monomer</t>
        </is>
      </c>
      <c r="C28" t="inlineStr">
        <is>
          <t>TMC</t>
        </is>
      </c>
      <c r="D28" t="inlineStr">
        <is>
          <t>tmc</t>
        </is>
      </c>
      <c r="E28" t="inlineStr"/>
      <c r="F28" t="inlineStr"/>
      <c r="G28" t="n">
        <v>0.1</v>
      </c>
      <c r="H28" t="inlineStr">
        <is>
          <t>w/w%</t>
        </is>
      </c>
      <c r="I28" t="inlineStr">
        <is>
          <t>wt%</t>
        </is>
      </c>
      <c r="J28" t="inlineStr">
        <is>
          <t>mass_fraction</t>
        </is>
      </c>
      <c r="K28" t="inlineStr">
        <is>
          <t>organic</t>
        </is>
      </c>
      <c r="L28" t="inlineStr"/>
      <c r="M28" t="inlineStr"/>
      <c r="N28" t="inlineStr"/>
      <c r="O28" t="inlineStr"/>
      <c r="P28" t="inlineStr">
        <is>
          <t>unknown</t>
        </is>
      </c>
      <c r="Q28" t="inlineStr"/>
      <c r="R28" t="inlineStr"/>
      <c r="S28" t="n">
        <v>0.1</v>
      </c>
      <c r="T28" t="inlineStr">
        <is>
          <t>DIRECT_WT</t>
        </is>
      </c>
      <c r="U28" t="inlineStr">
        <is>
          <t>original unit is mass fraction</t>
        </is>
      </c>
      <c r="V28" t="inlineStr"/>
      <c r="W28" t="inlineStr">
        <is>
          <t>wt%</t>
        </is>
      </c>
      <c r="X28" t="inlineStr">
        <is>
          <t>FAILED_PARSE</t>
        </is>
      </c>
      <c r="Y28" t="inlineStr"/>
    </row>
    <row r="29">
      <c r="A29" t="n">
        <v>6</v>
      </c>
      <c r="B29" t="inlineStr">
        <is>
          <t>additive</t>
        </is>
      </c>
      <c r="C29" t="inlineStr">
        <is>
          <t>toluene</t>
        </is>
      </c>
      <c r="D29" t="inlineStr">
        <is>
          <t>toluene</t>
        </is>
      </c>
      <c r="E29" t="inlineStr"/>
      <c r="F29" t="inlineStr"/>
      <c r="G29" t="n">
        <v>0.4</v>
      </c>
      <c r="H29" t="inlineStr">
        <is>
          <t>v/v%</t>
        </is>
      </c>
      <c r="I29" t="inlineStr">
        <is>
          <t>v/v%</t>
        </is>
      </c>
      <c r="J29" t="inlineStr">
        <is>
          <t>volume_fraction</t>
        </is>
      </c>
      <c r="K29" t="inlineStr">
        <is>
          <t>unknown</t>
        </is>
      </c>
      <c r="L29" t="inlineStr"/>
      <c r="M29" t="inlineStr"/>
      <c r="N29" t="inlineStr"/>
      <c r="O29" t="inlineStr"/>
      <c r="P29" t="inlineStr">
        <is>
          <t>unknown</t>
        </is>
      </c>
      <c r="Q29" t="inlineStr"/>
      <c r="R29" t="inlineStr">
        <is>
          <t>unknown</t>
        </is>
      </c>
      <c r="S29" t="inlineStr"/>
      <c r="T29" t="inlineStr">
        <is>
          <t>NEED_TRACEBACK</t>
        </is>
      </c>
      <c r="U29" t="inlineStr">
        <is>
          <t>v/v% requires solute density (not recommended for conversion)</t>
        </is>
      </c>
      <c r="V29" t="inlineStr"/>
      <c r="W29" t="inlineStr">
        <is>
          <t>wt%</t>
        </is>
      </c>
      <c r="X29" t="inlineStr">
        <is>
          <t>FAILED_PARSE</t>
        </is>
      </c>
      <c r="Y29" t="inlineStr"/>
    </row>
    <row r="30">
      <c r="A30" t="n">
        <v>6</v>
      </c>
      <c r="B30" t="inlineStr">
        <is>
          <t>test_nacl</t>
        </is>
      </c>
      <c r="C30" t="inlineStr">
        <is>
          <t>NaCl</t>
        </is>
      </c>
      <c r="D30" t="inlineStr">
        <is>
          <t>nacl</t>
        </is>
      </c>
      <c r="E30" t="inlineStr"/>
      <c r="F30" t="inlineStr"/>
      <c r="G30" t="n">
        <v>2000</v>
      </c>
      <c r="H30" t="inlineStr">
        <is>
          <t>ppm</t>
        </is>
      </c>
      <c r="I30" t="inlineStr">
        <is>
          <t>ppm</t>
        </is>
      </c>
      <c r="J30" t="inlineStr">
        <is>
          <t>ppm_family</t>
        </is>
      </c>
      <c r="K30" t="inlineStr">
        <is>
          <t>aqueous</t>
        </is>
      </c>
      <c r="L30" t="inlineStr"/>
      <c r="M30" t="inlineStr"/>
      <c r="N30" t="inlineStr"/>
      <c r="O30" t="inlineStr"/>
      <c r="P30" t="inlineStr">
        <is>
          <t>unknown</t>
        </is>
      </c>
      <c r="Q30" t="inlineStr"/>
      <c r="R30" t="inlineStr"/>
      <c r="S30" t="n">
        <v>0.2</v>
      </c>
      <c r="T30" t="inlineStr">
        <is>
          <t>ASSUMED_CONVERTED</t>
        </is>
      </c>
      <c r="U30" t="inlineStr">
        <is>
          <t>ppm to wt% (aqueous dilute assumption)</t>
        </is>
      </c>
      <c r="V30" t="inlineStr"/>
      <c r="W30" t="inlineStr">
        <is>
          <t>wt%</t>
        </is>
      </c>
      <c r="X30" t="inlineStr">
        <is>
          <t>FAILED_PARSE</t>
        </is>
      </c>
      <c r="Y30" t="inlineStr"/>
    </row>
    <row r="31">
      <c r="A31" t="n">
        <v>7</v>
      </c>
      <c r="B31" t="inlineStr">
        <is>
          <t>aqueous_monomer</t>
        </is>
      </c>
      <c r="C31" t="inlineStr">
        <is>
          <t>PVA</t>
        </is>
      </c>
      <c r="D31" t="inlineStr">
        <is>
          <t>pva</t>
        </is>
      </c>
      <c r="E31" t="inlineStr"/>
      <c r="F31" t="inlineStr"/>
      <c r="G31" t="n">
        <v>0.01</v>
      </c>
      <c r="H31" t="inlineStr">
        <is>
          <t>monomoles/L</t>
        </is>
      </c>
      <c r="I31" t="inlineStr">
        <is>
          <t>monomoles/l</t>
        </is>
      </c>
      <c r="J31" t="inlineStr">
        <is>
          <t>unsupported</t>
        </is>
      </c>
      <c r="K31" t="inlineStr">
        <is>
          <t>aqueous</t>
        </is>
      </c>
      <c r="L31" t="inlineStr"/>
      <c r="M31" t="inlineStr"/>
      <c r="N31" t="inlineStr"/>
      <c r="O31" t="inlineStr"/>
      <c r="P31" t="inlineStr">
        <is>
          <t>unknown</t>
        </is>
      </c>
      <c r="Q31" t="inlineStr"/>
      <c r="R31" t="inlineStr"/>
      <c r="S31" t="inlineStr"/>
      <c r="T31" t="inlineStr">
        <is>
          <t>CANNOT_CONVERT</t>
        </is>
      </c>
      <c r="U31" t="inlineStr">
        <is>
          <t>unsupported unit: monomoles/L</t>
        </is>
      </c>
      <c r="V31" t="inlineStr"/>
      <c r="W31" t="inlineStr">
        <is>
          <t>wt%</t>
        </is>
      </c>
      <c r="X31" t="inlineStr">
        <is>
          <t>FAILED_PARSE</t>
        </is>
      </c>
      <c r="Y31" t="inlineStr"/>
    </row>
    <row r="32">
      <c r="A32" t="n">
        <v>7</v>
      </c>
      <c r="B32" t="inlineStr">
        <is>
          <t>organic_monomer</t>
        </is>
      </c>
      <c r="C32" t="inlineStr">
        <is>
          <t>PVS</t>
        </is>
      </c>
      <c r="D32" t="inlineStr">
        <is>
          <t>pvs</t>
        </is>
      </c>
      <c r="E32" t="inlineStr"/>
      <c r="F32" t="inlineStr"/>
      <c r="G32" t="n">
        <v>0.01</v>
      </c>
      <c r="H32" t="inlineStr">
        <is>
          <t>monomoles/L</t>
        </is>
      </c>
      <c r="I32" t="inlineStr">
        <is>
          <t>monomoles/l</t>
        </is>
      </c>
      <c r="J32" t="inlineStr">
        <is>
          <t>unsupported</t>
        </is>
      </c>
      <c r="K32" t="inlineStr">
        <is>
          <t>organic</t>
        </is>
      </c>
      <c r="L32" t="inlineStr"/>
      <c r="M32" t="inlineStr"/>
      <c r="N32" t="inlineStr"/>
      <c r="O32" t="inlineStr"/>
      <c r="P32" t="inlineStr">
        <is>
          <t>unknown</t>
        </is>
      </c>
      <c r="Q32" t="inlineStr"/>
      <c r="R32" t="inlineStr"/>
      <c r="S32" t="inlineStr"/>
      <c r="T32" t="inlineStr">
        <is>
          <t>CANNOT_CONVERT</t>
        </is>
      </c>
      <c r="U32" t="inlineStr">
        <is>
          <t>unsupported unit: monomoles/L</t>
        </is>
      </c>
      <c r="V32" t="inlineStr"/>
      <c r="W32" t="inlineStr">
        <is>
          <t>wt%</t>
        </is>
      </c>
      <c r="X32" t="inlineStr">
        <is>
          <t>FAILED_PARSE</t>
        </is>
      </c>
      <c r="Y32" t="inlineStr"/>
    </row>
    <row r="33">
      <c r="A33" t="n">
        <v>7</v>
      </c>
      <c r="B33" t="inlineStr">
        <is>
          <t>additive</t>
        </is>
      </c>
      <c r="C33" t="inlineStr">
        <is>
          <t>NaCl</t>
        </is>
      </c>
      <c r="D33" t="inlineStr">
        <is>
          <t>nacl</t>
        </is>
      </c>
      <c r="E33" t="inlineStr"/>
      <c r="F33" t="inlineStr"/>
      <c r="G33" t="n">
        <v>1</v>
      </c>
      <c r="H33" t="inlineStr">
        <is>
          <t>M</t>
        </is>
      </c>
      <c r="I33" t="inlineStr">
        <is>
          <t>wt%</t>
        </is>
      </c>
      <c r="J33" t="inlineStr">
        <is>
          <t>mass_fraction</t>
        </is>
      </c>
      <c r="K33" t="inlineStr">
        <is>
          <t>unknown</t>
        </is>
      </c>
      <c r="L33" t="inlineStr"/>
      <c r="M33" t="inlineStr"/>
      <c r="N33" t="inlineStr"/>
      <c r="O33" t="inlineStr"/>
      <c r="P33" t="inlineStr">
        <is>
          <t>unknown</t>
        </is>
      </c>
      <c r="Q33" t="inlineStr"/>
      <c r="R33" t="inlineStr"/>
      <c r="S33" t="n">
        <v>1</v>
      </c>
      <c r="T33" t="inlineStr">
        <is>
          <t>DIRECT_WT</t>
        </is>
      </c>
      <c r="U33" t="inlineStr">
        <is>
          <t>original unit is mass fraction</t>
        </is>
      </c>
      <c r="V33" t="inlineStr"/>
      <c r="W33" t="inlineStr">
        <is>
          <t>wt%</t>
        </is>
      </c>
      <c r="X33" t="inlineStr">
        <is>
          <t>FAILED_PARSE</t>
        </is>
      </c>
      <c r="Y33" t="inlineStr"/>
    </row>
    <row r="34">
      <c r="A34" t="n">
        <v>7</v>
      </c>
      <c r="B34" t="inlineStr">
        <is>
          <t>test_nacl</t>
        </is>
      </c>
      <c r="C34" t="inlineStr">
        <is>
          <t>NaCl</t>
        </is>
      </c>
      <c r="D34" t="inlineStr">
        <is>
          <t>nacl</t>
        </is>
      </c>
      <c r="E34" t="inlineStr"/>
      <c r="F34" t="inlineStr"/>
      <c r="G34" t="n">
        <v>10</v>
      </c>
      <c r="H34" t="inlineStr">
        <is>
          <t>mM</t>
        </is>
      </c>
      <c r="I34" t="inlineStr">
        <is>
          <t>mM</t>
        </is>
      </c>
      <c r="J34" t="inlineStr">
        <is>
          <t>molarity</t>
        </is>
      </c>
      <c r="K34" t="inlineStr">
        <is>
          <t>aqueous</t>
        </is>
      </c>
      <c r="L34" t="inlineStr"/>
      <c r="M34" t="inlineStr"/>
      <c r="N34" t="inlineStr"/>
      <c r="O34" t="inlineStr"/>
      <c r="P34" t="inlineStr">
        <is>
          <t>unknown</t>
        </is>
      </c>
      <c r="Q34" t="inlineStr"/>
      <c r="R34" t="inlineStr">
        <is>
          <t>unknown</t>
        </is>
      </c>
      <c r="S34" t="inlineStr"/>
      <c r="T34" t="inlineStr">
        <is>
          <t>NEED_TRACEBACK</t>
        </is>
      </c>
      <c r="U34" t="inlineStr">
        <is>
          <t>molarity requires MW</t>
        </is>
      </c>
      <c r="V34" t="inlineStr"/>
      <c r="W34" t="inlineStr">
        <is>
          <t>wt%</t>
        </is>
      </c>
      <c r="X34" t="inlineStr">
        <is>
          <t>FAILED_PARSE</t>
        </is>
      </c>
      <c r="Y34" t="inlineStr"/>
    </row>
    <row r="35">
      <c r="A35" t="n">
        <v>8</v>
      </c>
      <c r="B35" t="inlineStr">
        <is>
          <t>aqueous_monomer</t>
        </is>
      </c>
      <c r="C35" t="inlineStr">
        <is>
          <t>MPD</t>
        </is>
      </c>
      <c r="D35" t="inlineStr">
        <is>
          <t>mpd</t>
        </is>
      </c>
      <c r="E35" t="inlineStr"/>
      <c r="F35" t="inlineStr"/>
      <c r="G35" t="n">
        <v>2</v>
      </c>
      <c r="H35" t="inlineStr">
        <is>
          <t>wt%</t>
        </is>
      </c>
      <c r="I35" t="inlineStr">
        <is>
          <t>wt%</t>
        </is>
      </c>
      <c r="J35" t="inlineStr">
        <is>
          <t>mass_fraction</t>
        </is>
      </c>
      <c r="K35" t="inlineStr">
        <is>
          <t>aqueous</t>
        </is>
      </c>
      <c r="L35" t="inlineStr"/>
      <c r="M35" t="inlineStr"/>
      <c r="N35" t="inlineStr"/>
      <c r="O35" t="inlineStr"/>
      <c r="P35" t="inlineStr">
        <is>
          <t>unknown</t>
        </is>
      </c>
      <c r="Q35" t="inlineStr"/>
      <c r="R35" t="inlineStr"/>
      <c r="S35" t="n">
        <v>2</v>
      </c>
      <c r="T35" t="inlineStr">
        <is>
          <t>DIRECT_WT</t>
        </is>
      </c>
      <c r="U35" t="inlineStr">
        <is>
          <t>original unit is mass fraction</t>
        </is>
      </c>
      <c r="V35" t="inlineStr"/>
      <c r="W35" t="inlineStr">
        <is>
          <t>wt%</t>
        </is>
      </c>
      <c r="X35" t="inlineStr">
        <is>
          <t>FAILED_PARSE</t>
        </is>
      </c>
      <c r="Y35" t="inlineStr"/>
    </row>
    <row r="36">
      <c r="A36" t="n">
        <v>8</v>
      </c>
      <c r="B36" t="inlineStr">
        <is>
          <t>organic_monomer</t>
        </is>
      </c>
      <c r="C36" t="inlineStr">
        <is>
          <t>TMC</t>
        </is>
      </c>
      <c r="D36" t="inlineStr">
        <is>
          <t>tmc</t>
        </is>
      </c>
      <c r="E36" t="inlineStr"/>
      <c r="F36" t="inlineStr"/>
      <c r="G36" t="n">
        <v>1</v>
      </c>
      <c r="H36" t="inlineStr">
        <is>
          <t>wt%</t>
        </is>
      </c>
      <c r="I36" t="inlineStr">
        <is>
          <t>wt%</t>
        </is>
      </c>
      <c r="J36" t="inlineStr">
        <is>
          <t>mass_fraction</t>
        </is>
      </c>
      <c r="K36" t="inlineStr">
        <is>
          <t>organic</t>
        </is>
      </c>
      <c r="L36" t="inlineStr"/>
      <c r="M36" t="inlineStr"/>
      <c r="N36" t="inlineStr"/>
      <c r="O36" t="inlineStr"/>
      <c r="P36" t="inlineStr">
        <is>
          <t>unknown</t>
        </is>
      </c>
      <c r="Q36" t="inlineStr"/>
      <c r="R36" t="inlineStr"/>
      <c r="S36" t="n">
        <v>1</v>
      </c>
      <c r="T36" t="inlineStr">
        <is>
          <t>DIRECT_WT</t>
        </is>
      </c>
      <c r="U36" t="inlineStr">
        <is>
          <t>original unit is mass fraction</t>
        </is>
      </c>
      <c r="V36" t="inlineStr"/>
      <c r="W36" t="inlineStr">
        <is>
          <t>wt%</t>
        </is>
      </c>
      <c r="X36" t="inlineStr">
        <is>
          <t>FAILED_PARSE</t>
        </is>
      </c>
      <c r="Y36" t="inlineStr"/>
    </row>
    <row r="37">
      <c r="A37" t="n">
        <v>8</v>
      </c>
      <c r="B37" t="inlineStr">
        <is>
          <t>additive</t>
        </is>
      </c>
      <c r="C37" t="inlineStr">
        <is>
          <t>SDS</t>
        </is>
      </c>
      <c r="D37" t="inlineStr">
        <is>
          <t>sds</t>
        </is>
      </c>
      <c r="E37" t="inlineStr"/>
      <c r="F37" t="inlineStr"/>
      <c r="G37" t="n">
        <v>0.15</v>
      </c>
      <c r="H37" t="inlineStr">
        <is>
          <t>wt%</t>
        </is>
      </c>
      <c r="I37" t="inlineStr">
        <is>
          <t>wt%</t>
        </is>
      </c>
      <c r="J37" t="inlineStr">
        <is>
          <t>mass_fraction</t>
        </is>
      </c>
      <c r="K37" t="inlineStr">
        <is>
          <t>unknown</t>
        </is>
      </c>
      <c r="L37" t="inlineStr"/>
      <c r="M37" t="inlineStr"/>
      <c r="N37" t="inlineStr"/>
      <c r="O37" t="inlineStr"/>
      <c r="P37" t="inlineStr">
        <is>
          <t>unknown</t>
        </is>
      </c>
      <c r="Q37" t="inlineStr"/>
      <c r="R37" t="inlineStr"/>
      <c r="S37" t="n">
        <v>0.15</v>
      </c>
      <c r="T37" t="inlineStr">
        <is>
          <t>DIRECT_WT</t>
        </is>
      </c>
      <c r="U37" t="inlineStr">
        <is>
          <t>original unit is mass fraction</t>
        </is>
      </c>
      <c r="V37" t="inlineStr"/>
      <c r="W37" t="inlineStr">
        <is>
          <t>wt%</t>
        </is>
      </c>
      <c r="X37" t="inlineStr">
        <is>
          <t>FAILED_PARSE</t>
        </is>
      </c>
      <c r="Y37" t="inlineStr"/>
    </row>
    <row r="38">
      <c r="A38" t="n">
        <v>8</v>
      </c>
      <c r="B38" t="inlineStr">
        <is>
          <t>additive</t>
        </is>
      </c>
      <c r="C38" t="inlineStr">
        <is>
          <t>EDC</t>
        </is>
      </c>
      <c r="D38" t="inlineStr">
        <is>
          <t>edc</t>
        </is>
      </c>
      <c r="E38" t="inlineStr"/>
      <c r="F38" t="inlineStr"/>
      <c r="G38" t="n">
        <v>0.1</v>
      </c>
      <c r="H38" t="inlineStr">
        <is>
          <t>mol/L</t>
        </is>
      </c>
      <c r="I38" t="inlineStr">
        <is>
          <t>M</t>
        </is>
      </c>
      <c r="J38" t="inlineStr">
        <is>
          <t>molarity</t>
        </is>
      </c>
      <c r="K38" t="inlineStr">
        <is>
          <t>unknown</t>
        </is>
      </c>
      <c r="L38" t="inlineStr"/>
      <c r="M38" t="inlineStr"/>
      <c r="N38" t="inlineStr"/>
      <c r="O38" t="inlineStr"/>
      <c r="P38" t="inlineStr">
        <is>
          <t>unknown</t>
        </is>
      </c>
      <c r="Q38" t="inlineStr"/>
      <c r="R38" t="inlineStr">
        <is>
          <t>unknown</t>
        </is>
      </c>
      <c r="S38" t="inlineStr"/>
      <c r="T38" t="inlineStr">
        <is>
          <t>NEED_TRACEBACK</t>
        </is>
      </c>
      <c r="U38" t="inlineStr">
        <is>
          <t>molarity requires MW</t>
        </is>
      </c>
      <c r="V38" t="inlineStr"/>
      <c r="W38" t="inlineStr">
        <is>
          <t>wt%</t>
        </is>
      </c>
      <c r="X38" t="inlineStr">
        <is>
          <t>FAILED_PARSE</t>
        </is>
      </c>
      <c r="Y38" t="inlineStr"/>
    </row>
    <row r="39">
      <c r="A39" t="n">
        <v>8</v>
      </c>
      <c r="B39" t="inlineStr">
        <is>
          <t>additive</t>
        </is>
      </c>
      <c r="C39" t="inlineStr">
        <is>
          <t>NHS</t>
        </is>
      </c>
      <c r="D39" t="inlineStr">
        <is>
          <t>nhs</t>
        </is>
      </c>
      <c r="E39" t="inlineStr"/>
      <c r="F39" t="inlineStr"/>
      <c r="G39" t="n">
        <v>0.15</v>
      </c>
      <c r="H39" t="inlineStr">
        <is>
          <t>wt%</t>
        </is>
      </c>
      <c r="I39" t="inlineStr">
        <is>
          <t>wt%</t>
        </is>
      </c>
      <c r="J39" t="inlineStr">
        <is>
          <t>mass_fraction</t>
        </is>
      </c>
      <c r="K39" t="inlineStr">
        <is>
          <t>unknown</t>
        </is>
      </c>
      <c r="L39" t="inlineStr"/>
      <c r="M39" t="inlineStr"/>
      <c r="N39" t="inlineStr"/>
      <c r="O39" t="inlineStr"/>
      <c r="P39" t="inlineStr">
        <is>
          <t>unknown</t>
        </is>
      </c>
      <c r="Q39" t="inlineStr"/>
      <c r="R39" t="inlineStr"/>
      <c r="S39" t="n">
        <v>0.15</v>
      </c>
      <c r="T39" t="inlineStr">
        <is>
          <t>DIRECT_WT</t>
        </is>
      </c>
      <c r="U39" t="inlineStr">
        <is>
          <t>original unit is mass fraction</t>
        </is>
      </c>
      <c r="V39" t="inlineStr"/>
      <c r="W39" t="inlineStr">
        <is>
          <t>wt%</t>
        </is>
      </c>
      <c r="X39" t="inlineStr">
        <is>
          <t>FAILED_PARSE</t>
        </is>
      </c>
      <c r="Y39" t="inlineStr"/>
    </row>
    <row r="40">
      <c r="A40" t="n">
        <v>8</v>
      </c>
      <c r="B40" t="inlineStr">
        <is>
          <t>modifier</t>
        </is>
      </c>
      <c r="C40" t="inlineStr">
        <is>
          <t>Lysozyme</t>
        </is>
      </c>
      <c r="D40" t="inlineStr">
        <is>
          <t>lysozyme</t>
        </is>
      </c>
      <c r="E40" t="inlineStr"/>
      <c r="F40" t="inlineStr"/>
      <c r="G40" t="n">
        <v>1</v>
      </c>
      <c r="H40" t="inlineStr">
        <is>
          <t>mg/mL</t>
        </is>
      </c>
      <c r="I40" t="inlineStr">
        <is>
          <t>mg/mL</t>
        </is>
      </c>
      <c r="J40" t="inlineStr">
        <is>
          <t>mass_concentration</t>
        </is>
      </c>
      <c r="K40" t="inlineStr">
        <is>
          <t>unknown</t>
        </is>
      </c>
      <c r="L40" t="inlineStr"/>
      <c r="M40" t="inlineStr"/>
      <c r="N40" t="inlineStr"/>
      <c r="O40" t="inlineStr"/>
      <c r="P40" t="inlineStr">
        <is>
          <t>unknown</t>
        </is>
      </c>
      <c r="Q40" t="inlineStr"/>
      <c r="R40" t="inlineStr">
        <is>
          <t>unknown</t>
        </is>
      </c>
      <c r="S40" t="inlineStr"/>
      <c r="T40" t="inlineStr">
        <is>
          <t>NEED_TRACEBACK</t>
        </is>
      </c>
      <c r="U40" t="inlineStr">
        <is>
          <t>mass_concentration requires density_solution</t>
        </is>
      </c>
      <c r="V40" t="inlineStr"/>
      <c r="W40" t="inlineStr">
        <is>
          <t>wt%</t>
        </is>
      </c>
      <c r="X40" t="inlineStr">
        <is>
          <t>FAILED_PARSE</t>
        </is>
      </c>
      <c r="Y40" t="inlineStr"/>
    </row>
    <row r="41">
      <c r="A41" t="n">
        <v>8</v>
      </c>
      <c r="B41" t="inlineStr">
        <is>
          <t>test_nacl</t>
        </is>
      </c>
      <c r="C41" t="inlineStr">
        <is>
          <t>NaCl</t>
        </is>
      </c>
      <c r="D41" t="inlineStr">
        <is>
          <t>nacl</t>
        </is>
      </c>
      <c r="E41" t="inlineStr"/>
      <c r="F41" t="inlineStr"/>
      <c r="G41" t="n">
        <v>0.05</v>
      </c>
      <c r="H41" t="inlineStr">
        <is>
          <t>wt%</t>
        </is>
      </c>
      <c r="I41" t="inlineStr">
        <is>
          <t>wt%</t>
        </is>
      </c>
      <c r="J41" t="inlineStr">
        <is>
          <t>mass_fraction</t>
        </is>
      </c>
      <c r="K41" t="inlineStr">
        <is>
          <t>aqueous</t>
        </is>
      </c>
      <c r="L41" t="inlineStr"/>
      <c r="M41" t="inlineStr"/>
      <c r="N41" t="inlineStr"/>
      <c r="O41" t="inlineStr"/>
      <c r="P41" t="inlineStr">
        <is>
          <t>unknown</t>
        </is>
      </c>
      <c r="Q41" t="inlineStr"/>
      <c r="R41" t="inlineStr"/>
      <c r="S41" t="n">
        <v>0.05</v>
      </c>
      <c r="T41" t="inlineStr">
        <is>
          <t>DIRECT_WT</t>
        </is>
      </c>
      <c r="U41" t="inlineStr">
        <is>
          <t>original unit is mass fraction</t>
        </is>
      </c>
      <c r="V41" t="inlineStr"/>
      <c r="W41" t="inlineStr">
        <is>
          <t>wt%</t>
        </is>
      </c>
      <c r="X41" t="inlineStr">
        <is>
          <t>FAILED_PARSE</t>
        </is>
      </c>
      <c r="Y41" t="inlineStr"/>
    </row>
    <row r="42">
      <c r="A42" t="n">
        <v>9</v>
      </c>
      <c r="B42" t="inlineStr">
        <is>
          <t>aqueous_monomer</t>
        </is>
      </c>
      <c r="C42" t="inlineStr">
        <is>
          <t>MPD</t>
        </is>
      </c>
      <c r="D42" t="inlineStr">
        <is>
          <t>mpd</t>
        </is>
      </c>
      <c r="E42" t="inlineStr"/>
      <c r="F42" t="inlineStr"/>
      <c r="G42" t="n">
        <v>2</v>
      </c>
      <c r="H42" t="inlineStr">
        <is>
          <t>w/v%</t>
        </is>
      </c>
      <c r="I42" t="inlineStr">
        <is>
          <t>w/v%</t>
        </is>
      </c>
      <c r="J42" t="inlineStr">
        <is>
          <t>mass_volume_percent</t>
        </is>
      </c>
      <c r="K42" t="inlineStr">
        <is>
          <t>aqueous</t>
        </is>
      </c>
      <c r="L42" t="inlineStr"/>
      <c r="M42" t="inlineStr"/>
      <c r="N42" t="inlineStr"/>
      <c r="O42" t="inlineStr"/>
      <c r="P42" t="inlineStr">
        <is>
          <t>unknown</t>
        </is>
      </c>
      <c r="Q42" t="n">
        <v>1</v>
      </c>
      <c r="R42" t="inlineStr">
        <is>
          <t>aqueous_dilute_approx</t>
        </is>
      </c>
      <c r="S42" t="n">
        <v>0.02</v>
      </c>
      <c r="T42" t="inlineStr">
        <is>
          <t>SAFE_CONVERTED</t>
        </is>
      </c>
      <c r="U42" t="inlineStr">
        <is>
          <t>w/v% to wt% (rho=1.0 from aqueous_dilute_approx)</t>
        </is>
      </c>
      <c r="V42" t="inlineStr"/>
      <c r="W42" t="inlineStr">
        <is>
          <t>wt%</t>
        </is>
      </c>
      <c r="X42" t="inlineStr">
        <is>
          <t>FAILED_PARSE</t>
        </is>
      </c>
      <c r="Y42" t="inlineStr"/>
    </row>
    <row r="43">
      <c r="A43" t="n">
        <v>9</v>
      </c>
      <c r="B43" t="inlineStr">
        <is>
          <t>organic_monomer</t>
        </is>
      </c>
      <c r="C43" t="inlineStr">
        <is>
          <t>TMC</t>
        </is>
      </c>
      <c r="D43" t="inlineStr">
        <is>
          <t>tmc</t>
        </is>
      </c>
      <c r="E43" t="inlineStr"/>
      <c r="F43" t="inlineStr"/>
      <c r="G43" t="n">
        <v>0.1</v>
      </c>
      <c r="H43" t="inlineStr">
        <is>
          <t>w/v%</t>
        </is>
      </c>
      <c r="I43" t="inlineStr">
        <is>
          <t>w/v%</t>
        </is>
      </c>
      <c r="J43" t="inlineStr">
        <is>
          <t>mass_volume_percent</t>
        </is>
      </c>
      <c r="K43" t="inlineStr">
        <is>
          <t>organic</t>
        </is>
      </c>
      <c r="L43" t="inlineStr"/>
      <c r="M43" t="inlineStr"/>
      <c r="N43" t="inlineStr"/>
      <c r="O43" t="inlineStr"/>
      <c r="P43" t="inlineStr">
        <is>
          <t>unknown</t>
        </is>
      </c>
      <c r="Q43" t="inlineStr"/>
      <c r="R43" t="inlineStr">
        <is>
          <t>organic_solvent_unknown</t>
        </is>
      </c>
      <c r="S43" t="inlineStr"/>
      <c r="T43" t="inlineStr">
        <is>
          <t>NEED_TRACEBACK</t>
        </is>
      </c>
      <c r="U43" t="inlineStr">
        <is>
          <t>w/v% requires density_solution</t>
        </is>
      </c>
      <c r="V43" t="inlineStr"/>
      <c r="W43" t="inlineStr">
        <is>
          <t>wt%</t>
        </is>
      </c>
      <c r="X43" t="inlineStr">
        <is>
          <t>FAILED_PARSE</t>
        </is>
      </c>
      <c r="Y43" t="inlineStr"/>
    </row>
    <row r="44">
      <c r="A44" t="n">
        <v>9</v>
      </c>
      <c r="B44" t="inlineStr">
        <is>
          <t>additive</t>
        </is>
      </c>
      <c r="C44" t="inlineStr">
        <is>
          <t>TEA</t>
        </is>
      </c>
      <c r="D44" t="inlineStr">
        <is>
          <t>tea</t>
        </is>
      </c>
      <c r="E44" t="inlineStr"/>
      <c r="F44" t="inlineStr"/>
      <c r="G44" t="n">
        <v>1.1</v>
      </c>
      <c r="H44" t="inlineStr">
        <is>
          <t>w/v%</t>
        </is>
      </c>
      <c r="I44" t="inlineStr">
        <is>
          <t>w/v%</t>
        </is>
      </c>
      <c r="J44" t="inlineStr">
        <is>
          <t>mass_volume_percent</t>
        </is>
      </c>
      <c r="K44" t="inlineStr">
        <is>
          <t>unknown</t>
        </is>
      </c>
      <c r="L44" t="inlineStr"/>
      <c r="M44" t="inlineStr"/>
      <c r="N44" t="inlineStr"/>
      <c r="O44" t="inlineStr"/>
      <c r="P44" t="inlineStr">
        <is>
          <t>unknown</t>
        </is>
      </c>
      <c r="Q44" t="inlineStr"/>
      <c r="R44" t="inlineStr">
        <is>
          <t>unknown</t>
        </is>
      </c>
      <c r="S44" t="inlineStr"/>
      <c r="T44" t="inlineStr">
        <is>
          <t>NEED_TRACEBACK</t>
        </is>
      </c>
      <c r="U44" t="inlineStr">
        <is>
          <t>w/v% requires density_solution</t>
        </is>
      </c>
      <c r="V44" t="inlineStr"/>
      <c r="W44" t="inlineStr">
        <is>
          <t>wt%</t>
        </is>
      </c>
      <c r="X44" t="inlineStr">
        <is>
          <t>FAILED_PARSE</t>
        </is>
      </c>
      <c r="Y44" t="inlineStr"/>
    </row>
    <row r="45">
      <c r="A45" t="n">
        <v>9</v>
      </c>
      <c r="B45" t="inlineStr">
        <is>
          <t>additive</t>
        </is>
      </c>
      <c r="C45" t="inlineStr">
        <is>
          <t>CSA</t>
        </is>
      </c>
      <c r="D45" t="inlineStr">
        <is>
          <t>csa</t>
        </is>
      </c>
      <c r="E45" t="inlineStr"/>
      <c r="F45" t="inlineStr"/>
      <c r="G45" t="n">
        <v>2.6</v>
      </c>
      <c r="H45" t="inlineStr">
        <is>
          <t>w/v%</t>
        </is>
      </c>
      <c r="I45" t="inlineStr">
        <is>
          <t>w/v%</t>
        </is>
      </c>
      <c r="J45" t="inlineStr">
        <is>
          <t>mass_volume_percent</t>
        </is>
      </c>
      <c r="K45" t="inlineStr">
        <is>
          <t>unknown</t>
        </is>
      </c>
      <c r="L45" t="inlineStr"/>
      <c r="M45" t="inlineStr"/>
      <c r="N45" t="inlineStr"/>
      <c r="O45" t="inlineStr"/>
      <c r="P45" t="inlineStr">
        <is>
          <t>unknown</t>
        </is>
      </c>
      <c r="Q45" t="inlineStr"/>
      <c r="R45" t="inlineStr">
        <is>
          <t>unknown</t>
        </is>
      </c>
      <c r="S45" t="inlineStr"/>
      <c r="T45" t="inlineStr">
        <is>
          <t>NEED_TRACEBACK</t>
        </is>
      </c>
      <c r="U45" t="inlineStr">
        <is>
          <t>w/v% requires density_solution</t>
        </is>
      </c>
      <c r="V45" t="inlineStr"/>
      <c r="W45" t="inlineStr">
        <is>
          <t>wt%</t>
        </is>
      </c>
      <c r="X45" t="inlineStr">
        <is>
          <t>FAILED_PARSE</t>
        </is>
      </c>
      <c r="Y45" t="inlineStr"/>
    </row>
    <row r="46">
      <c r="A46" t="n">
        <v>9</v>
      </c>
      <c r="B46" t="inlineStr">
        <is>
          <t>modifier</t>
        </is>
      </c>
      <c r="C46" t="inlineStr">
        <is>
          <t>CC3</t>
        </is>
      </c>
      <c r="D46" t="inlineStr">
        <is>
          <t>cc3</t>
        </is>
      </c>
      <c r="E46" t="inlineStr"/>
      <c r="F46" t="inlineStr"/>
      <c r="G46" t="n">
        <v>0.015</v>
      </c>
      <c r="H46" t="inlineStr">
        <is>
          <t>w/v%</t>
        </is>
      </c>
      <c r="I46" t="inlineStr">
        <is>
          <t>w/v%</t>
        </is>
      </c>
      <c r="J46" t="inlineStr">
        <is>
          <t>mass_volume_percent</t>
        </is>
      </c>
      <c r="K46" t="inlineStr">
        <is>
          <t>unknown</t>
        </is>
      </c>
      <c r="L46" t="inlineStr"/>
      <c r="M46" t="inlineStr"/>
      <c r="N46" t="inlineStr"/>
      <c r="O46" t="inlineStr"/>
      <c r="P46" t="inlineStr">
        <is>
          <t>unknown</t>
        </is>
      </c>
      <c r="Q46" t="inlineStr"/>
      <c r="R46" t="inlineStr">
        <is>
          <t>unknown</t>
        </is>
      </c>
      <c r="S46" t="inlineStr"/>
      <c r="T46" t="inlineStr">
        <is>
          <t>NEED_TRACEBACK</t>
        </is>
      </c>
      <c r="U46" t="inlineStr">
        <is>
          <t>w/v% requires density_solution</t>
        </is>
      </c>
      <c r="V46" t="inlineStr"/>
      <c r="W46" t="inlineStr">
        <is>
          <t>wt%</t>
        </is>
      </c>
      <c r="X46" t="inlineStr">
        <is>
          <t>FAILED_PARSE</t>
        </is>
      </c>
      <c r="Y46" t="inlineStr"/>
    </row>
    <row r="47">
      <c r="A47" t="n">
        <v>9</v>
      </c>
      <c r="B47" t="inlineStr">
        <is>
          <t>test_nacl</t>
        </is>
      </c>
      <c r="C47" t="inlineStr">
        <is>
          <t>NaCl</t>
        </is>
      </c>
      <c r="D47" t="inlineStr">
        <is>
          <t>nacl</t>
        </is>
      </c>
      <c r="E47" t="inlineStr"/>
      <c r="F47" t="inlineStr"/>
      <c r="G47" t="n">
        <v>2000</v>
      </c>
      <c r="H47" t="inlineStr">
        <is>
          <t>ppm</t>
        </is>
      </c>
      <c r="I47" t="inlineStr">
        <is>
          <t>ppm</t>
        </is>
      </c>
      <c r="J47" t="inlineStr">
        <is>
          <t>ppm_family</t>
        </is>
      </c>
      <c r="K47" t="inlineStr">
        <is>
          <t>aqueous</t>
        </is>
      </c>
      <c r="L47" t="inlineStr"/>
      <c r="M47" t="inlineStr"/>
      <c r="N47" t="inlineStr"/>
      <c r="O47" t="inlineStr"/>
      <c r="P47" t="inlineStr">
        <is>
          <t>unknown</t>
        </is>
      </c>
      <c r="Q47" t="inlineStr"/>
      <c r="R47" t="inlineStr"/>
      <c r="S47" t="n">
        <v>0.2</v>
      </c>
      <c r="T47" t="inlineStr">
        <is>
          <t>ASSUMED_CONVERTED</t>
        </is>
      </c>
      <c r="U47" t="inlineStr">
        <is>
          <t>ppm to wt% (aqueous dilute assumption)</t>
        </is>
      </c>
      <c r="V47" t="inlineStr"/>
      <c r="W47" t="inlineStr">
        <is>
          <t>wt%</t>
        </is>
      </c>
      <c r="X47" t="inlineStr">
        <is>
          <t>FAILED_PARSE</t>
        </is>
      </c>
      <c r="Y47" t="inlineStr"/>
    </row>
    <row r="48">
      <c r="A48" t="n">
        <v>10</v>
      </c>
      <c r="B48" t="inlineStr">
        <is>
          <t>aqueous_monomer</t>
        </is>
      </c>
      <c r="C48" t="inlineStr">
        <is>
          <t>MPD</t>
        </is>
      </c>
      <c r="D48" t="inlineStr">
        <is>
          <t>mpd</t>
        </is>
      </c>
      <c r="E48" t="inlineStr"/>
      <c r="F48" t="inlineStr"/>
      <c r="G48" t="n">
        <v>2</v>
      </c>
      <c r="H48" t="inlineStr">
        <is>
          <t>w/w%</t>
        </is>
      </c>
      <c r="I48" t="inlineStr">
        <is>
          <t>wt%</t>
        </is>
      </c>
      <c r="J48" t="inlineStr">
        <is>
          <t>mass_fraction</t>
        </is>
      </c>
      <c r="K48" t="inlineStr">
        <is>
          <t>aqueous</t>
        </is>
      </c>
      <c r="L48" t="inlineStr"/>
      <c r="M48" t="inlineStr"/>
      <c r="N48" t="inlineStr"/>
      <c r="O48" t="inlineStr"/>
      <c r="P48" t="inlineStr">
        <is>
          <t>unknown</t>
        </is>
      </c>
      <c r="Q48" t="inlineStr"/>
      <c r="R48" t="inlineStr"/>
      <c r="S48" t="n">
        <v>2</v>
      </c>
      <c r="T48" t="inlineStr">
        <is>
          <t>DIRECT_WT</t>
        </is>
      </c>
      <c r="U48" t="inlineStr">
        <is>
          <t>original unit is mass fraction</t>
        </is>
      </c>
      <c r="V48" t="inlineStr"/>
      <c r="W48" t="inlineStr">
        <is>
          <t>wt%</t>
        </is>
      </c>
      <c r="X48" t="inlineStr">
        <is>
          <t>FAILED_PARSE</t>
        </is>
      </c>
      <c r="Y48" t="inlineStr"/>
    </row>
    <row r="49">
      <c r="A49" t="n">
        <v>10</v>
      </c>
      <c r="B49" t="inlineStr">
        <is>
          <t>organic_monomer</t>
        </is>
      </c>
      <c r="C49" t="inlineStr">
        <is>
          <t>TMC</t>
        </is>
      </c>
      <c r="D49" t="inlineStr">
        <is>
          <t>tmc</t>
        </is>
      </c>
      <c r="E49" t="inlineStr"/>
      <c r="F49" t="inlineStr"/>
      <c r="G49" t="n">
        <v>0.1</v>
      </c>
      <c r="H49" t="inlineStr">
        <is>
          <t>w/v%</t>
        </is>
      </c>
      <c r="I49" t="inlineStr">
        <is>
          <t>w/v%</t>
        </is>
      </c>
      <c r="J49" t="inlineStr">
        <is>
          <t>mass_volume_percent</t>
        </is>
      </c>
      <c r="K49" t="inlineStr">
        <is>
          <t>organic</t>
        </is>
      </c>
      <c r="L49" t="inlineStr"/>
      <c r="M49" t="inlineStr"/>
      <c r="N49" t="inlineStr"/>
      <c r="O49" t="inlineStr"/>
      <c r="P49" t="inlineStr">
        <is>
          <t>unknown</t>
        </is>
      </c>
      <c r="Q49" t="inlineStr"/>
      <c r="R49" t="inlineStr">
        <is>
          <t>organic_solvent_unknown</t>
        </is>
      </c>
      <c r="S49" t="inlineStr"/>
      <c r="T49" t="inlineStr">
        <is>
          <t>NEED_TRACEBACK</t>
        </is>
      </c>
      <c r="U49" t="inlineStr">
        <is>
          <t>w/v% requires density_solution</t>
        </is>
      </c>
      <c r="V49" t="inlineStr"/>
      <c r="W49" t="inlineStr">
        <is>
          <t>wt%</t>
        </is>
      </c>
      <c r="X49" t="inlineStr">
        <is>
          <t>FAILED_PARSE</t>
        </is>
      </c>
      <c r="Y49" t="inlineStr"/>
    </row>
    <row r="50">
      <c r="A50" t="n">
        <v>10</v>
      </c>
      <c r="B50" t="inlineStr">
        <is>
          <t>additive</t>
        </is>
      </c>
      <c r="C50" t="inlineStr">
        <is>
          <t>TEA</t>
        </is>
      </c>
      <c r="D50" t="inlineStr">
        <is>
          <t>tea</t>
        </is>
      </c>
      <c r="E50" t="inlineStr"/>
      <c r="F50" t="inlineStr"/>
      <c r="G50" t="n">
        <v>2</v>
      </c>
      <c r="H50" t="inlineStr">
        <is>
          <t>w/w%</t>
        </is>
      </c>
      <c r="I50" t="inlineStr">
        <is>
          <t>wt%</t>
        </is>
      </c>
      <c r="J50" t="inlineStr">
        <is>
          <t>mass_fraction</t>
        </is>
      </c>
      <c r="K50" t="inlineStr">
        <is>
          <t>unknown</t>
        </is>
      </c>
      <c r="L50" t="inlineStr"/>
      <c r="M50" t="inlineStr"/>
      <c r="N50" t="inlineStr"/>
      <c r="O50" t="inlineStr"/>
      <c r="P50" t="inlineStr">
        <is>
          <t>unknown</t>
        </is>
      </c>
      <c r="Q50" t="inlineStr"/>
      <c r="R50" t="inlineStr"/>
      <c r="S50" t="n">
        <v>2</v>
      </c>
      <c r="T50" t="inlineStr">
        <is>
          <t>DIRECT_WT</t>
        </is>
      </c>
      <c r="U50" t="inlineStr">
        <is>
          <t>original unit is mass fraction</t>
        </is>
      </c>
      <c r="V50" t="inlineStr"/>
      <c r="W50" t="inlineStr">
        <is>
          <t>wt%</t>
        </is>
      </c>
      <c r="X50" t="inlineStr">
        <is>
          <t>FAILED_PARSE</t>
        </is>
      </c>
      <c r="Y50" t="inlineStr"/>
    </row>
    <row r="51">
      <c r="A51" t="n">
        <v>10</v>
      </c>
      <c r="B51" t="inlineStr">
        <is>
          <t>additive</t>
        </is>
      </c>
      <c r="C51" t="inlineStr">
        <is>
          <t>CSA</t>
        </is>
      </c>
      <c r="D51" t="inlineStr">
        <is>
          <t>csa</t>
        </is>
      </c>
      <c r="E51" t="inlineStr"/>
      <c r="F51" t="inlineStr"/>
      <c r="G51" t="n">
        <v>4.6</v>
      </c>
      <c r="H51" t="inlineStr">
        <is>
          <t>w/w%</t>
        </is>
      </c>
      <c r="I51" t="inlineStr">
        <is>
          <t>wt%</t>
        </is>
      </c>
      <c r="J51" t="inlineStr">
        <is>
          <t>mass_fraction</t>
        </is>
      </c>
      <c r="K51" t="inlineStr">
        <is>
          <t>unknown</t>
        </is>
      </c>
      <c r="L51" t="inlineStr"/>
      <c r="M51" t="inlineStr"/>
      <c r="N51" t="inlineStr"/>
      <c r="O51" t="inlineStr"/>
      <c r="P51" t="inlineStr">
        <is>
          <t>unknown</t>
        </is>
      </c>
      <c r="Q51" t="inlineStr"/>
      <c r="R51" t="inlineStr"/>
      <c r="S51" t="n">
        <v>4.6</v>
      </c>
      <c r="T51" t="inlineStr">
        <is>
          <t>DIRECT_WT</t>
        </is>
      </c>
      <c r="U51" t="inlineStr">
        <is>
          <t>original unit is mass fraction</t>
        </is>
      </c>
      <c r="V51" t="inlineStr"/>
      <c r="W51" t="inlineStr">
        <is>
          <t>wt%</t>
        </is>
      </c>
      <c r="X51" t="inlineStr">
        <is>
          <t>FAILED_PARSE</t>
        </is>
      </c>
      <c r="Y51" t="inlineStr"/>
    </row>
    <row r="52">
      <c r="A52" t="n">
        <v>10</v>
      </c>
      <c r="B52" t="inlineStr">
        <is>
          <t>additive</t>
        </is>
      </c>
      <c r="C52" t="inlineStr">
        <is>
          <t>Mim</t>
        </is>
      </c>
      <c r="D52" t="inlineStr">
        <is>
          <t>mim</t>
        </is>
      </c>
      <c r="E52" t="inlineStr"/>
      <c r="F52" t="inlineStr"/>
      <c r="G52" t="n">
        <v>0.5</v>
      </c>
      <c r="H52" t="inlineStr">
        <is>
          <t>w/w%</t>
        </is>
      </c>
      <c r="I52" t="inlineStr">
        <is>
          <t>wt%</t>
        </is>
      </c>
      <c r="J52" t="inlineStr">
        <is>
          <t>mass_fraction</t>
        </is>
      </c>
      <c r="K52" t="inlineStr">
        <is>
          <t>unknown</t>
        </is>
      </c>
      <c r="L52" t="inlineStr"/>
      <c r="M52" t="inlineStr"/>
      <c r="N52" t="inlineStr"/>
      <c r="O52" t="inlineStr"/>
      <c r="P52" t="inlineStr">
        <is>
          <t>unknown</t>
        </is>
      </c>
      <c r="Q52" t="inlineStr"/>
      <c r="R52" t="inlineStr"/>
      <c r="S52" t="n">
        <v>0.5</v>
      </c>
      <c r="T52" t="inlineStr">
        <is>
          <t>DIRECT_WT</t>
        </is>
      </c>
      <c r="U52" t="inlineStr">
        <is>
          <t>original unit is mass fraction</t>
        </is>
      </c>
      <c r="V52" t="inlineStr"/>
      <c r="W52" t="inlineStr">
        <is>
          <t>wt%</t>
        </is>
      </c>
      <c r="X52" t="inlineStr">
        <is>
          <t>FAILED_PARSE</t>
        </is>
      </c>
      <c r="Y52" t="inlineStr"/>
    </row>
    <row r="53">
      <c r="A53" t="n">
        <v>10</v>
      </c>
      <c r="B53" t="inlineStr">
        <is>
          <t>test_nacl</t>
        </is>
      </c>
      <c r="C53" t="inlineStr">
        <is>
          <t>NaCl</t>
        </is>
      </c>
      <c r="D53" t="inlineStr">
        <is>
          <t>nacl</t>
        </is>
      </c>
      <c r="E53" t="inlineStr"/>
      <c r="F53" t="inlineStr"/>
      <c r="G53" t="n">
        <v>2000</v>
      </c>
      <c r="H53" t="inlineStr">
        <is>
          <t>mg/L</t>
        </is>
      </c>
      <c r="I53" t="inlineStr">
        <is>
          <t>mg/L</t>
        </is>
      </c>
      <c r="J53" t="inlineStr">
        <is>
          <t>mass_concentration</t>
        </is>
      </c>
      <c r="K53" t="inlineStr">
        <is>
          <t>aqueous</t>
        </is>
      </c>
      <c r="L53" t="inlineStr"/>
      <c r="M53" t="inlineStr"/>
      <c r="N53" t="inlineStr"/>
      <c r="O53" t="inlineStr"/>
      <c r="P53" t="inlineStr">
        <is>
          <t>unknown</t>
        </is>
      </c>
      <c r="Q53" t="inlineStr"/>
      <c r="R53" t="inlineStr">
        <is>
          <t>unknown</t>
        </is>
      </c>
      <c r="S53" t="inlineStr"/>
      <c r="T53" t="inlineStr">
        <is>
          <t>NEED_TRACEBACK</t>
        </is>
      </c>
      <c r="U53" t="inlineStr">
        <is>
          <t>mass_concentration requires density_solution</t>
        </is>
      </c>
      <c r="V53" t="inlineStr"/>
      <c r="W53" t="inlineStr">
        <is>
          <t>wt%</t>
        </is>
      </c>
      <c r="X53" t="inlineStr">
        <is>
          <t>FAILED_PARSE</t>
        </is>
      </c>
      <c r="Y53" t="inlineStr"/>
    </row>
    <row r="54">
      <c r="A54" t="n">
        <v>11</v>
      </c>
      <c r="B54" t="inlineStr">
        <is>
          <t>aqueous_monomer</t>
        </is>
      </c>
      <c r="C54" t="inlineStr">
        <is>
          <t>3-SBMA</t>
        </is>
      </c>
      <c r="D54" t="inlineStr">
        <is>
          <t>3-sbma</t>
        </is>
      </c>
      <c r="E54" t="inlineStr"/>
      <c r="F54" t="inlineStr"/>
      <c r="G54" t="n">
        <v>0.219</v>
      </c>
      <c r="H54" t="inlineStr">
        <is>
          <t>M</t>
        </is>
      </c>
      <c r="I54" t="inlineStr">
        <is>
          <t>wt%</t>
        </is>
      </c>
      <c r="J54" t="inlineStr">
        <is>
          <t>mass_fraction</t>
        </is>
      </c>
      <c r="K54" t="inlineStr">
        <is>
          <t>aqueous</t>
        </is>
      </c>
      <c r="L54" t="inlineStr"/>
      <c r="M54" t="inlineStr"/>
      <c r="N54" t="inlineStr"/>
      <c r="O54" t="inlineStr"/>
      <c r="P54" t="inlineStr">
        <is>
          <t>unknown</t>
        </is>
      </c>
      <c r="Q54" t="inlineStr"/>
      <c r="R54" t="inlineStr"/>
      <c r="S54" t="n">
        <v>0.219</v>
      </c>
      <c r="T54" t="inlineStr">
        <is>
          <t>DIRECT_WT</t>
        </is>
      </c>
      <c r="U54" t="inlineStr">
        <is>
          <t>original unit is mass fraction</t>
        </is>
      </c>
      <c r="V54" t="inlineStr"/>
      <c r="W54" t="inlineStr">
        <is>
          <t>wt%</t>
        </is>
      </c>
      <c r="X54" t="inlineStr">
        <is>
          <t>FAILED_PARSE</t>
        </is>
      </c>
      <c r="Y54" t="inlineStr"/>
    </row>
    <row r="55">
      <c r="A55" t="n">
        <v>11</v>
      </c>
      <c r="B55" t="inlineStr">
        <is>
          <t>organic_monomer</t>
        </is>
      </c>
      <c r="C55" t="inlineStr">
        <is>
          <t>2-bromoisobutyryl bromide</t>
        </is>
      </c>
      <c r="D55" t="inlineStr">
        <is>
          <t>2-bromoisobutyrylbromide</t>
        </is>
      </c>
      <c r="E55" t="inlineStr"/>
      <c r="F55" t="inlineStr"/>
      <c r="G55" t="n">
        <v>0.054</v>
      </c>
      <c r="H55" t="inlineStr">
        <is>
          <t>M</t>
        </is>
      </c>
      <c r="I55" t="inlineStr">
        <is>
          <t>wt%</t>
        </is>
      </c>
      <c r="J55" t="inlineStr">
        <is>
          <t>mass_fraction</t>
        </is>
      </c>
      <c r="K55" t="inlineStr">
        <is>
          <t>organic</t>
        </is>
      </c>
      <c r="L55" t="inlineStr"/>
      <c r="M55" t="inlineStr"/>
      <c r="N55" t="inlineStr"/>
      <c r="O55" t="inlineStr"/>
      <c r="P55" t="inlineStr">
        <is>
          <t>unknown</t>
        </is>
      </c>
      <c r="Q55" t="inlineStr"/>
      <c r="R55" t="inlineStr"/>
      <c r="S55" t="n">
        <v>0.054</v>
      </c>
      <c r="T55" t="inlineStr">
        <is>
          <t>DIRECT_WT</t>
        </is>
      </c>
      <c r="U55" t="inlineStr">
        <is>
          <t>original unit is mass fraction</t>
        </is>
      </c>
      <c r="V55" t="inlineStr"/>
      <c r="W55" t="inlineStr">
        <is>
          <t>wt%</t>
        </is>
      </c>
      <c r="X55" t="inlineStr">
        <is>
          <t>FAILED_PARSE</t>
        </is>
      </c>
      <c r="Y55" t="inlineStr"/>
    </row>
    <row r="56">
      <c r="A56" t="n">
        <v>11</v>
      </c>
      <c r="B56" t="inlineStr">
        <is>
          <t>additive</t>
        </is>
      </c>
      <c r="C56" t="inlineStr">
        <is>
          <t>Triethylamine</t>
        </is>
      </c>
      <c r="D56" t="inlineStr">
        <is>
          <t>triethylamine</t>
        </is>
      </c>
      <c r="E56" t="inlineStr"/>
      <c r="F56" t="inlineStr"/>
      <c r="G56" t="n">
        <v>0.111</v>
      </c>
      <c r="H56" t="inlineStr">
        <is>
          <t>M</t>
        </is>
      </c>
      <c r="I56" t="inlineStr">
        <is>
          <t>wt%</t>
        </is>
      </c>
      <c r="J56" t="inlineStr">
        <is>
          <t>mass_fraction</t>
        </is>
      </c>
      <c r="K56" t="inlineStr">
        <is>
          <t>unknown</t>
        </is>
      </c>
      <c r="L56" t="inlineStr"/>
      <c r="M56" t="inlineStr"/>
      <c r="N56" t="inlineStr"/>
      <c r="O56" t="inlineStr"/>
      <c r="P56" t="inlineStr">
        <is>
          <t>unknown</t>
        </is>
      </c>
      <c r="Q56" t="inlineStr"/>
      <c r="R56" t="inlineStr"/>
      <c r="S56" t="n">
        <v>0.111</v>
      </c>
      <c r="T56" t="inlineStr">
        <is>
          <t>DIRECT_WT</t>
        </is>
      </c>
      <c r="U56" t="inlineStr">
        <is>
          <t>original unit is mass fraction</t>
        </is>
      </c>
      <c r="V56" t="inlineStr"/>
      <c r="W56" t="inlineStr">
        <is>
          <t>wt%</t>
        </is>
      </c>
      <c r="X56" t="inlineStr">
        <is>
          <t>FAILED_PARSE</t>
        </is>
      </c>
      <c r="Y56" t="inlineStr"/>
    </row>
    <row r="57">
      <c r="A57" t="n">
        <v>11</v>
      </c>
      <c r="B57" t="inlineStr">
        <is>
          <t>additive</t>
        </is>
      </c>
      <c r="C57" t="inlineStr">
        <is>
          <t>CuCl2</t>
        </is>
      </c>
      <c r="D57" t="inlineStr">
        <is>
          <t>cucl2</t>
        </is>
      </c>
      <c r="E57" t="inlineStr"/>
      <c r="F57" t="inlineStr"/>
      <c r="G57" t="n">
        <v>4.41e-05</v>
      </c>
      <c r="H57" t="inlineStr">
        <is>
          <t>M</t>
        </is>
      </c>
      <c r="I57" t="inlineStr">
        <is>
          <t>wt%</t>
        </is>
      </c>
      <c r="J57" t="inlineStr">
        <is>
          <t>mass_fraction</t>
        </is>
      </c>
      <c r="K57" t="inlineStr">
        <is>
          <t>unknown</t>
        </is>
      </c>
      <c r="L57" t="inlineStr"/>
      <c r="M57" t="inlineStr"/>
      <c r="N57" t="inlineStr"/>
      <c r="O57" t="inlineStr"/>
      <c r="P57" t="inlineStr">
        <is>
          <t>unknown</t>
        </is>
      </c>
      <c r="Q57" t="inlineStr"/>
      <c r="R57" t="inlineStr"/>
      <c r="S57" t="n">
        <v>4.41e-05</v>
      </c>
      <c r="T57" t="inlineStr">
        <is>
          <t>DIRECT_WT</t>
        </is>
      </c>
      <c r="U57" t="inlineStr">
        <is>
          <t>original unit is mass fraction</t>
        </is>
      </c>
      <c r="V57" t="inlineStr"/>
      <c r="W57" t="inlineStr">
        <is>
          <t>wt%</t>
        </is>
      </c>
      <c r="X57" t="inlineStr">
        <is>
          <t>FAILED_PARSE</t>
        </is>
      </c>
      <c r="Y57" t="inlineStr"/>
    </row>
    <row r="58">
      <c r="A58" t="n">
        <v>11</v>
      </c>
      <c r="B58" t="inlineStr">
        <is>
          <t>additive</t>
        </is>
      </c>
      <c r="C58" t="inlineStr">
        <is>
          <t>TPMA</t>
        </is>
      </c>
      <c r="D58" t="inlineStr">
        <is>
          <t>tpma</t>
        </is>
      </c>
      <c r="E58" t="inlineStr"/>
      <c r="F58" t="inlineStr"/>
      <c r="G58" t="n">
        <v>0.000441</v>
      </c>
      <c r="H58" t="inlineStr">
        <is>
          <t>M</t>
        </is>
      </c>
      <c r="I58" t="inlineStr">
        <is>
          <t>wt%</t>
        </is>
      </c>
      <c r="J58" t="inlineStr">
        <is>
          <t>mass_fraction</t>
        </is>
      </c>
      <c r="K58" t="inlineStr">
        <is>
          <t>unknown</t>
        </is>
      </c>
      <c r="L58" t="inlineStr"/>
      <c r="M58" t="inlineStr"/>
      <c r="N58" t="inlineStr"/>
      <c r="O58" t="inlineStr"/>
      <c r="P58" t="inlineStr">
        <is>
          <t>unknown</t>
        </is>
      </c>
      <c r="Q58" t="inlineStr"/>
      <c r="R58" t="inlineStr"/>
      <c r="S58" t="n">
        <v>0.000441</v>
      </c>
      <c r="T58" t="inlineStr">
        <is>
          <t>DIRECT_WT</t>
        </is>
      </c>
      <c r="U58" t="inlineStr">
        <is>
          <t>original unit is mass fraction</t>
        </is>
      </c>
      <c r="V58" t="inlineStr"/>
      <c r="W58" t="inlineStr">
        <is>
          <t>wt%</t>
        </is>
      </c>
      <c r="X58" t="inlineStr">
        <is>
          <t>FAILED_PARSE</t>
        </is>
      </c>
      <c r="Y58" t="inlineStr"/>
    </row>
    <row r="59">
      <c r="A59" t="n">
        <v>11</v>
      </c>
      <c r="B59" t="inlineStr">
        <is>
          <t>additive</t>
        </is>
      </c>
      <c r="C59" t="inlineStr">
        <is>
          <t>Ascorbic acid</t>
        </is>
      </c>
      <c r="D59" t="inlineStr">
        <is>
          <t>ascorbicacid</t>
        </is>
      </c>
      <c r="E59" t="inlineStr"/>
      <c r="F59" t="inlineStr"/>
      <c r="G59" t="n">
        <v>0.68</v>
      </c>
      <c r="H59" t="inlineStr">
        <is>
          <t>M</t>
        </is>
      </c>
      <c r="I59" t="inlineStr">
        <is>
          <t>wt%</t>
        </is>
      </c>
      <c r="J59" t="inlineStr">
        <is>
          <t>mass_fraction</t>
        </is>
      </c>
      <c r="K59" t="inlineStr">
        <is>
          <t>unknown</t>
        </is>
      </c>
      <c r="L59" t="inlineStr"/>
      <c r="M59" t="inlineStr"/>
      <c r="N59" t="inlineStr"/>
      <c r="O59" t="inlineStr"/>
      <c r="P59" t="inlineStr">
        <is>
          <t>unknown</t>
        </is>
      </c>
      <c r="Q59" t="inlineStr"/>
      <c r="R59" t="inlineStr"/>
      <c r="S59" t="n">
        <v>0.68</v>
      </c>
      <c r="T59" t="inlineStr">
        <is>
          <t>DIRECT_WT</t>
        </is>
      </c>
      <c r="U59" t="inlineStr">
        <is>
          <t>original unit is mass fraction</t>
        </is>
      </c>
      <c r="V59" t="inlineStr"/>
      <c r="W59" t="inlineStr">
        <is>
          <t>wt%</t>
        </is>
      </c>
      <c r="X59" t="inlineStr">
        <is>
          <t>FAILED_PARSE</t>
        </is>
      </c>
      <c r="Y59" t="inlineStr"/>
    </row>
    <row r="60">
      <c r="A60" t="n">
        <v>11</v>
      </c>
      <c r="B60" t="inlineStr">
        <is>
          <t>test_nacl</t>
        </is>
      </c>
      <c r="C60" t="inlineStr">
        <is>
          <t>NaCl</t>
        </is>
      </c>
      <c r="D60" t="inlineStr">
        <is>
          <t>nacl</t>
        </is>
      </c>
      <c r="E60" t="inlineStr"/>
      <c r="F60" t="inlineStr"/>
      <c r="G60" t="n">
        <v>36000</v>
      </c>
      <c r="H60" t="inlineStr">
        <is>
          <t>ppm</t>
        </is>
      </c>
      <c r="I60" t="inlineStr">
        <is>
          <t>ppm</t>
        </is>
      </c>
      <c r="J60" t="inlineStr">
        <is>
          <t>ppm_family</t>
        </is>
      </c>
      <c r="K60" t="inlineStr">
        <is>
          <t>aqueous</t>
        </is>
      </c>
      <c r="L60" t="inlineStr"/>
      <c r="M60" t="inlineStr"/>
      <c r="N60" t="inlineStr"/>
      <c r="O60" t="inlineStr"/>
      <c r="P60" t="inlineStr">
        <is>
          <t>unknown</t>
        </is>
      </c>
      <c r="Q60" t="inlineStr"/>
      <c r="R60" t="inlineStr"/>
      <c r="S60" t="n">
        <v>3.6</v>
      </c>
      <c r="T60" t="inlineStr">
        <is>
          <t>ASSUMED_CONVERTED</t>
        </is>
      </c>
      <c r="U60" t="inlineStr">
        <is>
          <t>ppm to wt% (aqueous dilute assumption)</t>
        </is>
      </c>
      <c r="V60" t="inlineStr"/>
      <c r="W60" t="inlineStr">
        <is>
          <t>wt%</t>
        </is>
      </c>
      <c r="X60" t="inlineStr">
        <is>
          <t>FAILED_PARSE</t>
        </is>
      </c>
      <c r="Y60" t="inlineStr"/>
    </row>
    <row r="61">
      <c r="A61" t="n">
        <v>12</v>
      </c>
      <c r="B61" t="inlineStr">
        <is>
          <t>aqueous_monomer</t>
        </is>
      </c>
      <c r="C61" t="inlineStr">
        <is>
          <t>MPD</t>
        </is>
      </c>
      <c r="D61" t="inlineStr">
        <is>
          <t>mpd</t>
        </is>
      </c>
      <c r="E61" t="inlineStr"/>
      <c r="F61" t="inlineStr"/>
      <c r="G61" t="n">
        <v>2</v>
      </c>
      <c r="H61" t="inlineStr">
        <is>
          <t>wt%</t>
        </is>
      </c>
      <c r="I61" t="inlineStr">
        <is>
          <t>wt%</t>
        </is>
      </c>
      <c r="J61" t="inlineStr">
        <is>
          <t>mass_fraction</t>
        </is>
      </c>
      <c r="K61" t="inlineStr">
        <is>
          <t>aqueous</t>
        </is>
      </c>
      <c r="L61" t="inlineStr"/>
      <c r="M61" t="inlineStr"/>
      <c r="N61" t="inlineStr"/>
      <c r="O61" t="inlineStr"/>
      <c r="P61" t="inlineStr">
        <is>
          <t>unknown</t>
        </is>
      </c>
      <c r="Q61" t="inlineStr"/>
      <c r="R61" t="inlineStr"/>
      <c r="S61" t="n">
        <v>2</v>
      </c>
      <c r="T61" t="inlineStr">
        <is>
          <t>DIRECT_WT</t>
        </is>
      </c>
      <c r="U61" t="inlineStr">
        <is>
          <t>original unit is mass fraction</t>
        </is>
      </c>
      <c r="V61" t="inlineStr"/>
      <c r="W61" t="inlineStr">
        <is>
          <t>wt%</t>
        </is>
      </c>
      <c r="X61" t="inlineStr">
        <is>
          <t>FAILED_PARSE</t>
        </is>
      </c>
      <c r="Y61" t="inlineStr"/>
    </row>
    <row r="62">
      <c r="A62" t="n">
        <v>12</v>
      </c>
      <c r="B62" t="inlineStr">
        <is>
          <t>organic_monomer</t>
        </is>
      </c>
      <c r="C62" t="inlineStr">
        <is>
          <t>TMC</t>
        </is>
      </c>
      <c r="D62" t="inlineStr">
        <is>
          <t>tmc</t>
        </is>
      </c>
      <c r="E62" t="inlineStr"/>
      <c r="F62" t="inlineStr"/>
      <c r="G62" t="n">
        <v>0.1</v>
      </c>
      <c r="H62" t="inlineStr">
        <is>
          <t>wt%</t>
        </is>
      </c>
      <c r="I62" t="inlineStr">
        <is>
          <t>wt%</t>
        </is>
      </c>
      <c r="J62" t="inlineStr">
        <is>
          <t>mass_fraction</t>
        </is>
      </c>
      <c r="K62" t="inlineStr">
        <is>
          <t>organic</t>
        </is>
      </c>
      <c r="L62" t="inlineStr"/>
      <c r="M62" t="inlineStr"/>
      <c r="N62" t="inlineStr"/>
      <c r="O62" t="inlineStr"/>
      <c r="P62" t="inlineStr">
        <is>
          <t>unknown</t>
        </is>
      </c>
      <c r="Q62" t="inlineStr"/>
      <c r="R62" t="inlineStr"/>
      <c r="S62" t="n">
        <v>0.1</v>
      </c>
      <c r="T62" t="inlineStr">
        <is>
          <t>DIRECT_WT</t>
        </is>
      </c>
      <c r="U62" t="inlineStr">
        <is>
          <t>original unit is mass fraction</t>
        </is>
      </c>
      <c r="V62" t="inlineStr"/>
      <c r="W62" t="inlineStr">
        <is>
          <t>wt%</t>
        </is>
      </c>
      <c r="X62" t="inlineStr">
        <is>
          <t>FAILED_PARSE</t>
        </is>
      </c>
      <c r="Y62" t="inlineStr"/>
    </row>
    <row r="63">
      <c r="A63" t="n">
        <v>12</v>
      </c>
      <c r="B63" t="inlineStr">
        <is>
          <t>additive</t>
        </is>
      </c>
      <c r="C63" t="inlineStr">
        <is>
          <t>HNTs</t>
        </is>
      </c>
      <c r="D63" t="inlineStr">
        <is>
          <t>hnts</t>
        </is>
      </c>
      <c r="E63" t="inlineStr"/>
      <c r="F63" t="inlineStr"/>
      <c r="G63" t="n">
        <v>0.1</v>
      </c>
      <c r="H63" t="inlineStr">
        <is>
          <t>wt/v%</t>
        </is>
      </c>
      <c r="I63" t="inlineStr">
        <is>
          <t>w/v%</t>
        </is>
      </c>
      <c r="J63" t="inlineStr">
        <is>
          <t>mass_volume_percent</t>
        </is>
      </c>
      <c r="K63" t="inlineStr">
        <is>
          <t>unknown</t>
        </is>
      </c>
      <c r="L63" t="inlineStr"/>
      <c r="M63" t="inlineStr"/>
      <c r="N63" t="inlineStr"/>
      <c r="O63" t="inlineStr"/>
      <c r="P63" t="inlineStr">
        <is>
          <t>unknown</t>
        </is>
      </c>
      <c r="Q63" t="inlineStr"/>
      <c r="R63" t="inlineStr">
        <is>
          <t>unknown</t>
        </is>
      </c>
      <c r="S63" t="inlineStr"/>
      <c r="T63" t="inlineStr">
        <is>
          <t>NEED_TRACEBACK</t>
        </is>
      </c>
      <c r="U63" t="inlineStr">
        <is>
          <t>w/v% requires density_solution</t>
        </is>
      </c>
      <c r="V63" t="inlineStr"/>
      <c r="W63" t="inlineStr">
        <is>
          <t>wt%</t>
        </is>
      </c>
      <c r="X63" t="inlineStr">
        <is>
          <t>FAILED_PARSE</t>
        </is>
      </c>
      <c r="Y63" t="inlineStr"/>
    </row>
    <row r="64">
      <c r="A64" t="n">
        <v>12</v>
      </c>
      <c r="B64" t="inlineStr">
        <is>
          <t>test_nacl</t>
        </is>
      </c>
      <c r="C64" t="inlineStr">
        <is>
          <t>NaCl</t>
        </is>
      </c>
      <c r="D64" t="inlineStr">
        <is>
          <t>nacl</t>
        </is>
      </c>
      <c r="E64" t="inlineStr"/>
      <c r="F64" t="inlineStr"/>
      <c r="G64" t="n">
        <v>2000</v>
      </c>
      <c r="H64" t="inlineStr">
        <is>
          <t>ppm</t>
        </is>
      </c>
      <c r="I64" t="inlineStr">
        <is>
          <t>ppm</t>
        </is>
      </c>
      <c r="J64" t="inlineStr">
        <is>
          <t>ppm_family</t>
        </is>
      </c>
      <c r="K64" t="inlineStr">
        <is>
          <t>aqueous</t>
        </is>
      </c>
      <c r="L64" t="inlineStr"/>
      <c r="M64" t="inlineStr"/>
      <c r="N64" t="inlineStr"/>
      <c r="O64" t="inlineStr"/>
      <c r="P64" t="inlineStr">
        <is>
          <t>unknown</t>
        </is>
      </c>
      <c r="Q64" t="inlineStr"/>
      <c r="R64" t="inlineStr"/>
      <c r="S64" t="n">
        <v>0.2</v>
      </c>
      <c r="T64" t="inlineStr">
        <is>
          <t>ASSUMED_CONVERTED</t>
        </is>
      </c>
      <c r="U64" t="inlineStr">
        <is>
          <t>ppm to wt% (aqueous dilute assumption)</t>
        </is>
      </c>
      <c r="V64" t="inlineStr"/>
      <c r="W64" t="inlineStr">
        <is>
          <t>wt%</t>
        </is>
      </c>
      <c r="X64" t="inlineStr">
        <is>
          <t>FAILED_PARSE</t>
        </is>
      </c>
      <c r="Y64" t="inlineStr"/>
    </row>
    <row r="65">
      <c r="A65" t="n">
        <v>13</v>
      </c>
      <c r="B65" t="inlineStr">
        <is>
          <t>aqueous_monomer</t>
        </is>
      </c>
      <c r="C65" t="inlineStr">
        <is>
          <t>N-IPAAm</t>
        </is>
      </c>
      <c r="D65" t="inlineStr">
        <is>
          <t>n-ipaam</t>
        </is>
      </c>
      <c r="E65" t="inlineStr"/>
      <c r="F65" t="inlineStr"/>
      <c r="G65" t="n">
        <v>0.1</v>
      </c>
      <c r="H65" t="inlineStr">
        <is>
          <t>%</t>
        </is>
      </c>
      <c r="I65" t="inlineStr">
        <is>
          <t>%</t>
        </is>
      </c>
      <c r="J65" t="inlineStr">
        <is>
          <t>percent_ambiguous</t>
        </is>
      </c>
      <c r="K65" t="inlineStr">
        <is>
          <t>aqueous</t>
        </is>
      </c>
      <c r="L65" t="inlineStr"/>
      <c r="M65" t="inlineStr"/>
      <c r="N65" t="inlineStr"/>
      <c r="O65" t="inlineStr"/>
      <c r="P65" t="inlineStr">
        <is>
          <t>unknown</t>
        </is>
      </c>
      <c r="Q65" t="inlineStr"/>
      <c r="R65" t="inlineStr"/>
      <c r="S65" t="inlineStr"/>
      <c r="T65" t="inlineStr">
        <is>
          <t>NEED_TRACEBACK</t>
        </is>
      </c>
      <c r="U65" t="inlineStr">
        <is>
          <t>bare % requires context to determine type (wt/v/w/v)</t>
        </is>
      </c>
      <c r="V65" t="inlineStr"/>
      <c r="W65" t="inlineStr">
        <is>
          <t>wt%</t>
        </is>
      </c>
      <c r="X65" t="inlineStr">
        <is>
          <t>FAILED_PARSE</t>
        </is>
      </c>
      <c r="Y65" t="inlineStr"/>
    </row>
    <row r="66">
      <c r="A66" t="n">
        <v>13</v>
      </c>
      <c r="B66" t="inlineStr">
        <is>
          <t>organic_monomer</t>
        </is>
      </c>
      <c r="C66" t="inlineStr">
        <is>
          <t>MBAAm</t>
        </is>
      </c>
      <c r="D66" t="inlineStr">
        <is>
          <t>mbaam</t>
        </is>
      </c>
      <c r="E66" t="inlineStr"/>
      <c r="F66" t="inlineStr"/>
      <c r="G66" t="n">
        <v>0.013</v>
      </c>
      <c r="H66" t="inlineStr">
        <is>
          <t>%</t>
        </is>
      </c>
      <c r="I66" t="inlineStr">
        <is>
          <t>%</t>
        </is>
      </c>
      <c r="J66" t="inlineStr">
        <is>
          <t>percent_ambiguous</t>
        </is>
      </c>
      <c r="K66" t="inlineStr">
        <is>
          <t>organic</t>
        </is>
      </c>
      <c r="L66" t="inlineStr"/>
      <c r="M66" t="inlineStr"/>
      <c r="N66" t="inlineStr"/>
      <c r="O66" t="inlineStr"/>
      <c r="P66" t="inlineStr">
        <is>
          <t>unknown</t>
        </is>
      </c>
      <c r="Q66" t="inlineStr"/>
      <c r="R66" t="inlineStr"/>
      <c r="S66" t="inlineStr"/>
      <c r="T66" t="inlineStr">
        <is>
          <t>NEED_TRACEBACK</t>
        </is>
      </c>
      <c r="U66" t="inlineStr">
        <is>
          <t>bare % requires context to determine type (wt/v/w/v)</t>
        </is>
      </c>
      <c r="V66" t="inlineStr"/>
      <c r="W66" t="inlineStr">
        <is>
          <t>wt%</t>
        </is>
      </c>
      <c r="X66" t="inlineStr">
        <is>
          <t>FAILED_PARSE</t>
        </is>
      </c>
      <c r="Y66" t="inlineStr"/>
    </row>
    <row r="67">
      <c r="A67" t="n">
        <v>13</v>
      </c>
      <c r="B67" t="inlineStr">
        <is>
          <t>additive</t>
        </is>
      </c>
      <c r="C67" t="inlineStr">
        <is>
          <t>Potassium persulfate</t>
        </is>
      </c>
      <c r="D67" t="inlineStr">
        <is>
          <t>potassiumpersulfate</t>
        </is>
      </c>
      <c r="E67" t="inlineStr"/>
      <c r="F67" t="inlineStr"/>
      <c r="G67" t="n">
        <v>1.5</v>
      </c>
      <c r="H67" t="inlineStr">
        <is>
          <t>%</t>
        </is>
      </c>
      <c r="I67" t="inlineStr">
        <is>
          <t>%</t>
        </is>
      </c>
      <c r="J67" t="inlineStr">
        <is>
          <t>percent_ambiguous</t>
        </is>
      </c>
      <c r="K67" t="inlineStr">
        <is>
          <t>unknown</t>
        </is>
      </c>
      <c r="L67" t="inlineStr"/>
      <c r="M67" t="inlineStr"/>
      <c r="N67" t="inlineStr"/>
      <c r="O67" t="inlineStr"/>
      <c r="P67" t="inlineStr">
        <is>
          <t>unknown</t>
        </is>
      </c>
      <c r="Q67" t="inlineStr"/>
      <c r="R67" t="inlineStr"/>
      <c r="S67" t="inlineStr"/>
      <c r="T67" t="inlineStr">
        <is>
          <t>NEED_TRACEBACK</t>
        </is>
      </c>
      <c r="U67" t="inlineStr">
        <is>
          <t>bare % requires context to determine type (wt/v/w/v)</t>
        </is>
      </c>
      <c r="V67" t="inlineStr"/>
      <c r="W67" t="inlineStr">
        <is>
          <t>wt%</t>
        </is>
      </c>
      <c r="X67" t="inlineStr">
        <is>
          <t>FAILED_PARSE</t>
        </is>
      </c>
      <c r="Y67" t="inlineStr"/>
    </row>
    <row r="68">
      <c r="A68" t="n">
        <v>13</v>
      </c>
      <c r="B68" t="inlineStr">
        <is>
          <t>additive</t>
        </is>
      </c>
      <c r="C68" t="inlineStr">
        <is>
          <t>Sodium hydroxide</t>
        </is>
      </c>
      <c r="D68" t="inlineStr">
        <is>
          <t>sodiumhydroxide</t>
        </is>
      </c>
      <c r="E68" t="inlineStr"/>
      <c r="F68" t="inlineStr"/>
      <c r="G68" t="n">
        <v>0.014</v>
      </c>
      <c r="H68" t="inlineStr">
        <is>
          <t>%</t>
        </is>
      </c>
      <c r="I68" t="inlineStr">
        <is>
          <t>%</t>
        </is>
      </c>
      <c r="J68" t="inlineStr">
        <is>
          <t>percent_ambiguous</t>
        </is>
      </c>
      <c r="K68" t="inlineStr">
        <is>
          <t>unknown</t>
        </is>
      </c>
      <c r="L68" t="inlineStr"/>
      <c r="M68" t="inlineStr"/>
      <c r="N68" t="inlineStr"/>
      <c r="O68" t="inlineStr"/>
      <c r="P68" t="inlineStr">
        <is>
          <t>unknown</t>
        </is>
      </c>
      <c r="Q68" t="inlineStr"/>
      <c r="R68" t="inlineStr"/>
      <c r="S68" t="inlineStr"/>
      <c r="T68" t="inlineStr">
        <is>
          <t>NEED_TRACEBACK</t>
        </is>
      </c>
      <c r="U68" t="inlineStr">
        <is>
          <t>bare % requires context to determine type (wt/v/w/v)</t>
        </is>
      </c>
      <c r="V68" t="inlineStr"/>
      <c r="W68" t="inlineStr">
        <is>
          <t>wt%</t>
        </is>
      </c>
      <c r="X68" t="inlineStr">
        <is>
          <t>FAILED_PARSE</t>
        </is>
      </c>
      <c r="Y68" t="inlineStr"/>
    </row>
    <row r="69">
      <c r="A69" t="n">
        <v>13</v>
      </c>
      <c r="B69" t="inlineStr">
        <is>
          <t>modifier</t>
        </is>
      </c>
      <c r="C69" t="inlineStr">
        <is>
          <t>N-IPAAm</t>
        </is>
      </c>
      <c r="D69" t="inlineStr">
        <is>
          <t>n-ipaam</t>
        </is>
      </c>
      <c r="E69" t="inlineStr"/>
      <c r="F69" t="inlineStr"/>
      <c r="G69" t="n">
        <v>0.1</v>
      </c>
      <c r="H69" t="inlineStr">
        <is>
          <t>%</t>
        </is>
      </c>
      <c r="I69" t="inlineStr">
        <is>
          <t>%</t>
        </is>
      </c>
      <c r="J69" t="inlineStr">
        <is>
          <t>percent_ambiguous</t>
        </is>
      </c>
      <c r="K69" t="inlineStr">
        <is>
          <t>unknown</t>
        </is>
      </c>
      <c r="L69" t="inlineStr"/>
      <c r="M69" t="inlineStr"/>
      <c r="N69" t="inlineStr"/>
      <c r="O69" t="inlineStr"/>
      <c r="P69" t="inlineStr">
        <is>
          <t>unknown</t>
        </is>
      </c>
      <c r="Q69" t="inlineStr"/>
      <c r="R69" t="inlineStr"/>
      <c r="S69" t="inlineStr"/>
      <c r="T69" t="inlineStr">
        <is>
          <t>NEED_TRACEBACK</t>
        </is>
      </c>
      <c r="U69" t="inlineStr">
        <is>
          <t>bare % requires context to determine type (wt/v/w/v)</t>
        </is>
      </c>
      <c r="V69" t="inlineStr"/>
      <c r="W69" t="inlineStr">
        <is>
          <t>wt%</t>
        </is>
      </c>
      <c r="X69" t="inlineStr">
        <is>
          <t>FAILED_PARSE</t>
        </is>
      </c>
      <c r="Y69" t="inlineStr"/>
    </row>
    <row r="70">
      <c r="A70" t="n">
        <v>13</v>
      </c>
      <c r="B70" t="inlineStr">
        <is>
          <t>modifier</t>
        </is>
      </c>
      <c r="C70" t="inlineStr">
        <is>
          <t>MBAAm</t>
        </is>
      </c>
      <c r="D70" t="inlineStr">
        <is>
          <t>mbaam</t>
        </is>
      </c>
      <c r="E70" t="inlineStr"/>
      <c r="F70" t="inlineStr"/>
      <c r="G70" t="n">
        <v>0.013</v>
      </c>
      <c r="H70" t="inlineStr">
        <is>
          <t>%</t>
        </is>
      </c>
      <c r="I70" t="inlineStr">
        <is>
          <t>%</t>
        </is>
      </c>
      <c r="J70" t="inlineStr">
        <is>
          <t>percent_ambiguous</t>
        </is>
      </c>
      <c r="K70" t="inlineStr">
        <is>
          <t>unknown</t>
        </is>
      </c>
      <c r="L70" t="inlineStr"/>
      <c r="M70" t="inlineStr"/>
      <c r="N70" t="inlineStr"/>
      <c r="O70" t="inlineStr"/>
      <c r="P70" t="inlineStr">
        <is>
          <t>unknown</t>
        </is>
      </c>
      <c r="Q70" t="inlineStr"/>
      <c r="R70" t="inlineStr"/>
      <c r="S70" t="inlineStr"/>
      <c r="T70" t="inlineStr">
        <is>
          <t>NEED_TRACEBACK</t>
        </is>
      </c>
      <c r="U70" t="inlineStr">
        <is>
          <t>bare % requires context to determine type (wt/v/w/v)</t>
        </is>
      </c>
      <c r="V70" t="inlineStr"/>
      <c r="W70" t="inlineStr">
        <is>
          <t>wt%</t>
        </is>
      </c>
      <c r="X70" t="inlineStr">
        <is>
          <t>FAILED_PARSE</t>
        </is>
      </c>
      <c r="Y70" t="inlineStr"/>
    </row>
    <row r="71">
      <c r="A71" t="n">
        <v>13</v>
      </c>
      <c r="B71" t="inlineStr">
        <is>
          <t>test_nacl</t>
        </is>
      </c>
      <c r="C71" t="inlineStr">
        <is>
          <t>NaCl</t>
        </is>
      </c>
      <c r="D71" t="inlineStr">
        <is>
          <t>nacl</t>
        </is>
      </c>
      <c r="E71" t="inlineStr"/>
      <c r="F71" t="inlineStr"/>
      <c r="G71" t="n">
        <v>10000</v>
      </c>
      <c r="H71" t="inlineStr">
        <is>
          <t>ppm</t>
        </is>
      </c>
      <c r="I71" t="inlineStr">
        <is>
          <t>ppm</t>
        </is>
      </c>
      <c r="J71" t="inlineStr">
        <is>
          <t>ppm_family</t>
        </is>
      </c>
      <c r="K71" t="inlineStr">
        <is>
          <t>aqueous</t>
        </is>
      </c>
      <c r="L71" t="inlineStr"/>
      <c r="M71" t="inlineStr"/>
      <c r="N71" t="inlineStr"/>
      <c r="O71" t="inlineStr"/>
      <c r="P71" t="inlineStr">
        <is>
          <t>unknown</t>
        </is>
      </c>
      <c r="Q71" t="inlineStr"/>
      <c r="R71" t="inlineStr"/>
      <c r="S71" t="n">
        <v>1</v>
      </c>
      <c r="T71" t="inlineStr">
        <is>
          <t>ASSUMED_CONVERTED</t>
        </is>
      </c>
      <c r="U71" t="inlineStr">
        <is>
          <t>ppm to wt% (aqueous dilute assumption)</t>
        </is>
      </c>
      <c r="V71" t="inlineStr"/>
      <c r="W71" t="inlineStr">
        <is>
          <t>wt%</t>
        </is>
      </c>
      <c r="X71" t="inlineStr">
        <is>
          <t>FAILED_PARSE</t>
        </is>
      </c>
      <c r="Y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>
        <f>== Status Distribution ===</f>
        <v/>
      </c>
      <c r="B2" t="inlineStr"/>
    </row>
    <row r="3">
      <c r="A3" t="inlineStr">
        <is>
          <t>ASSUMED_CONVERTED</t>
        </is>
      </c>
      <c r="B3" t="n">
        <v>10</v>
      </c>
    </row>
    <row r="4">
      <c r="A4" t="inlineStr">
        <is>
          <t>CANNOT_CONVERT</t>
        </is>
      </c>
      <c r="B4" t="n">
        <v>2</v>
      </c>
    </row>
    <row r="5">
      <c r="A5" t="inlineStr">
        <is>
          <t>DIRECT_WT</t>
        </is>
      </c>
      <c r="B5" t="n">
        <v>28</v>
      </c>
    </row>
    <row r="6">
      <c r="A6" t="inlineStr">
        <is>
          <t>NEED_TRACEBACK</t>
        </is>
      </c>
      <c r="B6" t="n">
        <v>26</v>
      </c>
    </row>
    <row r="7">
      <c r="A7" t="inlineStr">
        <is>
          <t>SAFE_CONVERTED</t>
        </is>
      </c>
      <c r="B7" t="n">
        <v>4</v>
      </c>
    </row>
    <row r="8">
      <c r="A8" t="inlineStr"/>
      <c r="B8" t="inlineStr"/>
    </row>
    <row r="9">
      <c r="A9">
        <f>== Unit Family Distribution ===</f>
        <v/>
      </c>
      <c r="B9" t="inlineStr"/>
    </row>
    <row r="10">
      <c r="A10" t="inlineStr">
        <is>
          <t>mass_concentration</t>
        </is>
      </c>
      <c r="B10" t="n">
        <v>5</v>
      </c>
    </row>
    <row r="11">
      <c r="A11" t="inlineStr">
        <is>
          <t>mass_fraction</t>
        </is>
      </c>
      <c r="B11" t="n">
        <v>28</v>
      </c>
    </row>
    <row r="12">
      <c r="A12" t="inlineStr">
        <is>
          <t>mass_volume_percent</t>
        </is>
      </c>
      <c r="B12" t="n">
        <v>16</v>
      </c>
    </row>
    <row r="13">
      <c r="A13" t="inlineStr">
        <is>
          <t>molarity</t>
        </is>
      </c>
      <c r="B13" t="n">
        <v>2</v>
      </c>
    </row>
    <row r="14">
      <c r="A14" t="inlineStr">
        <is>
          <t>percent_ambiguous</t>
        </is>
      </c>
      <c r="B14" t="n">
        <v>6</v>
      </c>
    </row>
    <row r="15">
      <c r="A15" t="inlineStr">
        <is>
          <t>ppm_family</t>
        </is>
      </c>
      <c r="B15" t="n">
        <v>10</v>
      </c>
    </row>
    <row r="16">
      <c r="A16" t="inlineStr">
        <is>
          <t>unsupported</t>
        </is>
      </c>
      <c r="B16" t="n">
        <v>2</v>
      </c>
    </row>
    <row r="17">
      <c r="A17" t="inlineStr">
        <is>
          <t>volume_fraction</t>
        </is>
      </c>
      <c r="B17" t="n">
        <v>1</v>
      </c>
    </row>
    <row r="18">
      <c r="A18" t="inlineStr"/>
      <c r="B18" t="inlineStr"/>
    </row>
    <row r="19">
      <c r="A19">
        <f>== Slot Distribution ===</f>
        <v/>
      </c>
      <c r="B19" t="inlineStr"/>
    </row>
    <row r="20">
      <c r="A20" t="inlineStr">
        <is>
          <t>additive</t>
        </is>
      </c>
      <c r="B20" t="n">
        <v>25</v>
      </c>
    </row>
    <row r="21">
      <c r="A21" t="inlineStr">
        <is>
          <t>aqueous_monomer</t>
        </is>
      </c>
      <c r="B21" t="n">
        <v>13</v>
      </c>
    </row>
    <row r="22">
      <c r="A22" t="inlineStr">
        <is>
          <t>modifier</t>
        </is>
      </c>
      <c r="B22" t="n">
        <v>6</v>
      </c>
    </row>
    <row r="23">
      <c r="A23" t="inlineStr">
        <is>
          <t>organic_monomer</t>
        </is>
      </c>
      <c r="B23" t="n">
        <v>12</v>
      </c>
    </row>
    <row r="24">
      <c r="A24" t="inlineStr">
        <is>
          <t>test_nacl</t>
        </is>
      </c>
      <c r="B24" t="n">
        <v>14</v>
      </c>
    </row>
    <row r="25">
      <c r="A25" t="inlineStr"/>
      <c r="B25" t="inlineStr"/>
    </row>
    <row r="26">
      <c r="A26" t="inlineStr">
        <is>
          <t>Total Items</t>
        </is>
      </c>
      <c r="B26" t="n">
        <v>70</v>
      </c>
    </row>
    <row r="27">
      <c r="A27" t="inlineStr">
        <is>
          <t>Successfully Converted</t>
        </is>
      </c>
      <c r="B27" t="n">
        <v>42</v>
      </c>
    </row>
    <row r="28">
      <c r="A28" t="inlineStr">
        <is>
          <t>Coverage Rate (%)</t>
        </is>
      </c>
      <c r="B28" t="inlineStr">
        <is>
          <t>60.00%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2026-03-12T08:30:29Z</dcterms:created>
  <dcterms:modified xsi:type="dcterms:W3CDTF">2026-03-12T08:30:29Z</dcterms:modified>
</cp:coreProperties>
</file>