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_main" sheetId="1" state="visible" r:id="rId1"/>
    <sheet name="concentration_review" sheetId="2" state="visible" r:id="rId2"/>
    <sheet name="summar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1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0" customWidth="1" min="13" max="13"/>
    <col width="10" customWidth="1" min="14" max="14"/>
    <col width="10" customWidth="1" min="15" max="15"/>
    <col width="42" customWidth="1" min="16" max="16"/>
    <col width="42" customWidth="1" min="17" max="17"/>
    <col width="42" customWidth="1" min="18" max="18"/>
    <col width="10" customWidth="1" min="19" max="19"/>
    <col width="37" customWidth="1" min="20" max="20"/>
    <col width="18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42" customWidth="1" min="27" max="27"/>
    <col width="42" customWidth="1" min="28" max="28"/>
    <col width="42" customWidth="1" min="29" max="29"/>
    <col width="11" customWidth="1" min="30" max="30"/>
    <col width="13" customWidth="1" min="31" max="31"/>
    <col width="14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42" customWidth="1" min="40" max="40"/>
    <col width="10" customWidth="1" min="41" max="41"/>
    <col width="13" customWidth="1" min="42" max="42"/>
    <col width="10" customWidth="1" min="43" max="43"/>
    <col width="10" customWidth="1" min="44" max="44"/>
    <col width="10" customWidth="1" min="45" max="45"/>
    <col width="17" customWidth="1" min="46" max="46"/>
    <col width="10" customWidth="1" min="47" max="47"/>
    <col width="10" customWidth="1" min="48" max="48"/>
    <col width="42" customWidth="1" min="49" max="49"/>
    <col width="42" customWidth="1" min="50" max="50"/>
    <col width="10" customWidth="1" min="51" max="51"/>
    <col width="10" customWidth="1" min="52" max="52"/>
    <col width="10" customWidth="1" min="53" max="53"/>
    <col width="10" customWidth="1" min="54" max="54"/>
    <col width="12" customWidth="1" min="55" max="55"/>
    <col width="42" customWidth="1" min="56" max="56"/>
    <col width="10" customWidth="1" min="57" max="57"/>
    <col width="30" customWidth="1" min="58" max="58"/>
    <col width="10" customWidth="1" min="59" max="59"/>
    <col width="10" customWidth="1" min="60" max="60"/>
    <col width="10" customWidth="1" min="61" max="61"/>
    <col width="14" customWidth="1" min="62" max="62"/>
    <col width="17" customWidth="1" min="63" max="63"/>
    <col width="12" customWidth="1" min="64" max="64"/>
    <col width="42" customWidth="1" min="65" max="65"/>
    <col width="42" customWidth="1" min="66" max="66"/>
    <col width="42" customWidth="1" min="67" max="67"/>
    <col width="42" customWidth="1" min="68" max="68"/>
    <col width="42" customWidth="1" min="69" max="69"/>
    <col width="42" customWidth="1" min="70" max="70"/>
    <col width="42" customWidth="1" min="71" max="71"/>
    <col width="42" customWidth="1" min="72" max="72"/>
  </cols>
  <sheetData>
    <row r="1">
      <c r="A1" s="1" t="inlineStr">
        <is>
          <t>__row_index</t>
        </is>
      </c>
      <c r="B1" s="1" t="inlineStr">
        <is>
          <t>膜类型</t>
        </is>
      </c>
      <c r="C1" s="1" t="inlineStr">
        <is>
          <t>样品编号</t>
        </is>
      </c>
      <c r="D1" s="1" t="inlineStr">
        <is>
          <t>膜材料</t>
        </is>
      </c>
      <c r="E1" s="1" t="inlineStr">
        <is>
          <t>制备方法</t>
        </is>
      </c>
      <c r="F1" s="1" t="inlineStr">
        <is>
          <t>水相单体</t>
        </is>
      </c>
      <c r="G1" s="1" t="inlineStr">
        <is>
          <t>水相单体浓度</t>
        </is>
      </c>
      <c r="H1" s="1" t="inlineStr">
        <is>
          <t>水相单体浓度_单位</t>
        </is>
      </c>
      <c r="I1" s="1" t="inlineStr">
        <is>
          <t>油相单体</t>
        </is>
      </c>
      <c r="J1" s="1" t="inlineStr">
        <is>
          <t>油相单体浓度</t>
        </is>
      </c>
      <c r="K1" s="1" t="inlineStr">
        <is>
          <t>油相单体浓度_单位</t>
        </is>
      </c>
      <c r="L1" s="1" t="inlineStr">
        <is>
          <t>有机溶剂</t>
        </is>
      </c>
      <c r="M1" s="1" t="inlineStr">
        <is>
          <t>基底</t>
        </is>
      </c>
      <c r="N1" s="1" t="inlineStr">
        <is>
          <t>pH/碱度</t>
        </is>
      </c>
      <c r="O1" s="1" t="inlineStr">
        <is>
          <t>pH/碱度_单位</t>
        </is>
      </c>
      <c r="P1" s="1" t="inlineStr">
        <is>
          <t>添加剂</t>
        </is>
      </c>
      <c r="Q1" s="1" t="inlineStr">
        <is>
          <t>添加剂浓度</t>
        </is>
      </c>
      <c r="R1" s="1" t="inlineStr">
        <is>
          <t>添加剂浓度_单位</t>
        </is>
      </c>
      <c r="S1" s="1" t="inlineStr">
        <is>
          <t>界面聚合时间</t>
        </is>
      </c>
      <c r="T1" s="1" t="inlineStr">
        <is>
          <t>界面聚合时间_单位</t>
        </is>
      </c>
      <c r="U1" s="1" t="inlineStr">
        <is>
          <t>反应温度</t>
        </is>
      </c>
      <c r="V1" s="1" t="inlineStr">
        <is>
          <t>反应温度_单位</t>
        </is>
      </c>
      <c r="W1" s="1" t="inlineStr">
        <is>
          <t>固化温度</t>
        </is>
      </c>
      <c r="X1" s="1" t="inlineStr">
        <is>
          <t>固化温度_单位</t>
        </is>
      </c>
      <c r="Y1" s="1" t="inlineStr">
        <is>
          <t>固化时间</t>
        </is>
      </c>
      <c r="Z1" s="1" t="inlineStr">
        <is>
          <t>固化时间_单位</t>
        </is>
      </c>
      <c r="AA1" s="1" t="inlineStr">
        <is>
          <t>改性剂</t>
        </is>
      </c>
      <c r="AB1" s="1" t="inlineStr">
        <is>
          <t>改性剂浓度</t>
        </is>
      </c>
      <c r="AC1" s="1" t="inlineStr">
        <is>
          <t>改性剂浓度_单位</t>
        </is>
      </c>
      <c r="AD1" s="1" t="inlineStr">
        <is>
          <t>改性时间</t>
        </is>
      </c>
      <c r="AE1" s="1" t="inlineStr">
        <is>
          <t>改性时间_单位</t>
        </is>
      </c>
      <c r="AF1" s="1" t="inlineStr">
        <is>
          <t>膜厚度</t>
        </is>
      </c>
      <c r="AG1" s="1" t="inlineStr">
        <is>
          <t>膜厚度_单位</t>
        </is>
      </c>
      <c r="AH1" s="1" t="inlineStr">
        <is>
          <t>粗糙度</t>
        </is>
      </c>
      <c r="AI1" s="1" t="inlineStr">
        <is>
          <t>粗糙度_单位</t>
        </is>
      </c>
      <c r="AJ1" s="1" t="inlineStr">
        <is>
          <t>交联度</t>
        </is>
      </c>
      <c r="AK1" s="1" t="inlineStr">
        <is>
          <t>交联度_单位</t>
        </is>
      </c>
      <c r="AL1" s="1" t="inlineStr">
        <is>
          <t>孔径</t>
        </is>
      </c>
      <c r="AM1" s="1" t="inlineStr">
        <is>
          <t>孔径_单位</t>
        </is>
      </c>
      <c r="AN1" s="1" t="inlineStr">
        <is>
          <t>表面官能团</t>
        </is>
      </c>
      <c r="AO1" s="1" t="inlineStr">
        <is>
          <t>表面Zeta电位</t>
        </is>
      </c>
      <c r="AP1" s="1" t="inlineStr">
        <is>
          <t>表面Zeta电位_单位</t>
        </is>
      </c>
      <c r="AQ1" s="1" t="inlineStr">
        <is>
          <t>接触角</t>
        </is>
      </c>
      <c r="AR1" s="1" t="inlineStr">
        <is>
          <t>接触角_单位</t>
        </is>
      </c>
      <c r="AS1" s="1" t="inlineStr">
        <is>
          <t>水通量</t>
        </is>
      </c>
      <c r="AT1" s="1" t="inlineStr">
        <is>
          <t>水通量_单位</t>
        </is>
      </c>
      <c r="AU1" s="1" t="inlineStr">
        <is>
          <t>盐截留</t>
        </is>
      </c>
      <c r="AV1" s="1" t="inlineStr">
        <is>
          <t>盐截留_单位</t>
        </is>
      </c>
      <c r="AW1" s="1" t="inlineStr">
        <is>
          <t>测试NaCl浓度</t>
        </is>
      </c>
      <c r="AX1" s="1" t="inlineStr">
        <is>
          <t>测试NaCl浓度_单位</t>
        </is>
      </c>
      <c r="AY1" s="1" t="inlineStr">
        <is>
          <t>通量衰减率</t>
        </is>
      </c>
      <c r="AZ1" s="1" t="inlineStr">
        <is>
          <t>通量衰减率_单位</t>
        </is>
      </c>
      <c r="BA1" s="1" t="inlineStr">
        <is>
          <t>测试压力</t>
        </is>
      </c>
      <c r="BB1" s="1" t="inlineStr">
        <is>
          <t>测试压力_单位</t>
        </is>
      </c>
      <c r="BC1" s="1" t="inlineStr">
        <is>
          <t>过滤模式</t>
        </is>
      </c>
      <c r="BD1" s="1" t="inlineStr">
        <is>
          <t>文件名称</t>
        </is>
      </c>
      <c r="BE1" s="1" t="inlineStr">
        <is>
          <t>发表年份</t>
        </is>
      </c>
      <c r="BF1" s="1" t="inlineStr">
        <is>
          <t>DOI</t>
        </is>
      </c>
      <c r="BG1" s="1" t="inlineStr">
        <is>
          <t>原始_溶质类型</t>
        </is>
      </c>
      <c r="BH1" s="1" t="inlineStr">
        <is>
          <t>标准_溶质类型</t>
        </is>
      </c>
      <c r="BI1" s="1" t="inlineStr">
        <is>
          <t>标准_性能数值</t>
        </is>
      </c>
      <c r="BJ1" s="1" t="inlineStr">
        <is>
          <t>标准_性能单位</t>
        </is>
      </c>
      <c r="BK1" s="1" t="inlineStr">
        <is>
          <t>性能数据类型</t>
        </is>
      </c>
      <c r="BL1" s="1" t="inlineStr">
        <is>
          <t>标准_IP时间(s)</t>
        </is>
      </c>
      <c r="BM1" s="1" t="inlineStr">
        <is>
          <t>论文题目</t>
        </is>
      </c>
      <c r="BN1" s="1" t="inlineStr">
        <is>
          <t>水相单体_status</t>
        </is>
      </c>
      <c r="BO1" s="1" t="inlineStr">
        <is>
          <t>油相单体_status</t>
        </is>
      </c>
      <c r="BP1" s="1" t="inlineStr">
        <is>
          <t>添加剂_status</t>
        </is>
      </c>
      <c r="BQ1" s="1" t="inlineStr">
        <is>
          <t>改性剂_status</t>
        </is>
      </c>
      <c r="BR1" s="1" t="inlineStr">
        <is>
          <t>测试NaCl_status</t>
        </is>
      </c>
      <c r="BS1" s="1" t="inlineStr">
        <is>
          <t>总review_count</t>
        </is>
      </c>
      <c r="BT1" s="1" t="inlineStr">
        <is>
          <t>建议人工复核</t>
        </is>
      </c>
    </row>
    <row r="2">
      <c r="A2" t="n">
        <v>0</v>
      </c>
      <c r="B2" t="inlineStr">
        <is>
          <t>RO</t>
        </is>
      </c>
      <c r="C2" t="inlineStr">
        <is>
          <t>PMA-GO/RO_Run3</t>
        </is>
      </c>
      <c r="D2" t="inlineStr">
        <is>
          <t>PMA-GO modified Polyamide</t>
        </is>
      </c>
      <c r="E2" t="inlineStr">
        <is>
          <t>MA polymerization on GO functionalized RO membrane (Microwave-assisted)</t>
        </is>
      </c>
      <c r="F2" s="2">
        <f>IFERROR(TEXTJOIN("; ",TRUE,FILTER('concentration_review'!$Z$2:$Z$84,('concentration_review'!$A$2:$A$84=$A2)*('concentration_review'!$F$2:$F$84="水相单体"))),"")</f>
        <v/>
      </c>
      <c r="G2" s="2">
        <f>IFERROR(TEXTJOIN("; ",TRUE,FILTER('concentration_review'!$AA$2:$AA$84,('concentration_review'!$A$2:$A$84=$A2)*('concentration_review'!$G$2:$G$84="水相单体浓度"))),"")</f>
        <v/>
      </c>
      <c r="H2" s="2">
        <f>IFERROR(TEXTJOIN("; ",TRUE,FILTER('concentration_review'!$AB$2:$AB$84,('concentration_review'!$A$2:$A$84=$A2)*('concentration_review'!$G$2:$G$84="水相单体浓度_单位"))),"")</f>
        <v/>
      </c>
      <c r="I2" s="2">
        <f>IFERROR(TEXTJOIN("; ",TRUE,FILTER('concentration_review'!$Z$2:$Z$84,('concentration_review'!$A$2:$A$84=$A2)*('concentration_review'!$F$2:$F$84="油相单体"))),"")</f>
        <v/>
      </c>
      <c r="J2" s="2">
        <f>IFERROR(TEXTJOIN("; ",TRUE,FILTER('concentration_review'!$AA$2:$AA$84,('concentration_review'!$A$2:$A$84=$A2)*('concentration_review'!$G$2:$G$84="油相单体浓度"))),"")</f>
        <v/>
      </c>
      <c r="K2" s="2">
        <f>IFERROR(TEXTJOIN("; ",TRUE,FILTER('concentration_review'!$AB$2:$AB$84,('concentration_review'!$A$2:$A$84=$A2)*('concentration_review'!$G$2:$G$84="油相单体浓度_单位"))),"")</f>
        <v/>
      </c>
      <c r="M2" t="inlineStr">
        <is>
          <t>Polyamide/Polysulfone</t>
        </is>
      </c>
      <c r="P2" s="2">
        <f>IFERROR(TEXTJOIN("; ",TRUE,FILTER('concentration_review'!$Z$2:$Z$84,('concentration_review'!$A$2:$A$84=$A2)*('concentration_review'!$F$2:$F$84="添加剂"))),"")</f>
        <v/>
      </c>
      <c r="Q2" s="2">
        <f>IFERROR(TEXTJOIN("; ",TRUE,FILTER('concentration_review'!$AA$2:$AA$84,('concentration_review'!$A$2:$A$84=$A2)*('concentration_review'!$G$2:$G$84="添加剂浓度"))),"")</f>
        <v/>
      </c>
      <c r="R2" s="2">
        <f>IFERROR(TEXTJOIN("; ",TRUE,FILTER('concentration_review'!$AB$2:$AB$84,('concentration_review'!$A$2:$A$84=$A2)*('concentration_review'!$G$2:$G$84="添加剂浓度_单位"))),"")</f>
        <v/>
      </c>
      <c r="S2" t="n">
        <v>9</v>
      </c>
      <c r="T2" t="inlineStr">
        <is>
          <t>s</t>
        </is>
      </c>
      <c r="W2" t="n">
        <v>70</v>
      </c>
      <c r="X2" t="inlineStr">
        <is>
          <t>℃</t>
        </is>
      </c>
      <c r="Y2" t="n">
        <v>5</v>
      </c>
      <c r="Z2" t="inlineStr">
        <is>
          <t>min</t>
        </is>
      </c>
      <c r="AA2" s="2">
        <f>IFERROR(TEXTJOIN("; ",TRUE,FILTER('concentration_review'!$Z$2:$Z$84,('concentration_review'!$A$2:$A$84=$A2)*('concentration_review'!$F$2:$F$84="改性剂"))),"")</f>
        <v/>
      </c>
      <c r="AB2" s="2">
        <f>IFERROR(TEXTJOIN("; ",TRUE,FILTER('concentration_review'!$AA$2:$AA$84,('concentration_review'!$A$2:$A$84=$A2)*('concentration_review'!$G$2:$G$84="改性剂浓度"))),"")</f>
        <v/>
      </c>
      <c r="AC2" s="2">
        <f>IFERROR(TEXTJOIN("; ",TRUE,FILTER('concentration_review'!$AB$2:$AB$84,('concentration_review'!$A$2:$A$84=$A2)*('concentration_review'!$G$2:$G$84="改性剂浓度_单位"))),"")</f>
        <v/>
      </c>
      <c r="AH2" t="n">
        <v>44.77</v>
      </c>
      <c r="AI2" t="inlineStr">
        <is>
          <t>nm</t>
        </is>
      </c>
      <c r="AN2" t="inlineStr">
        <is>
          <t>C=O; -OH; C-H</t>
        </is>
      </c>
      <c r="AQ2" t="n">
        <v>18</v>
      </c>
      <c r="AR2" t="inlineStr">
        <is>
          <t>°</t>
        </is>
      </c>
      <c r="AS2" t="n">
        <v>2.75</v>
      </c>
      <c r="AT2" t="inlineStr">
        <is>
          <t>L/(m²·h·bar)</t>
        </is>
      </c>
      <c r="AU2" t="n">
        <v>96.5</v>
      </c>
      <c r="AV2" t="inlineStr">
        <is>
          <t>%</t>
        </is>
      </c>
      <c r="AW2" s="2">
        <f>IFERROR(TEXTJOIN("; ",TRUE,FILTER('concentration_review'!$AA$2:$AA$84,('concentration_review'!$A$2:$A$84=$A2)*('concentration_review'!$G$2:$G$84="测试NaCl浓度"))),"")</f>
        <v/>
      </c>
      <c r="AX2" s="2">
        <f>IFERROR(TEXTJOIN("; ",TRUE,FILTER('concentration_review'!$AB$2:$AB$84,('concentration_review'!$A$2:$A$84=$A2)*('concentration_review'!$G$2:$G$84="测试NaCl浓度_单位"))),"")</f>
        <v/>
      </c>
      <c r="BA2" t="n">
        <v>25</v>
      </c>
      <c r="BB2" t="inlineStr">
        <is>
          <t>bar</t>
        </is>
      </c>
      <c r="BC2" t="inlineStr">
        <is>
          <t>Cross-flow</t>
        </is>
      </c>
      <c r="BD2" t="inlineStr">
        <is>
          <t>10.1016_j.desal.2023.116372.pdf</t>
        </is>
      </c>
      <c r="BE2" t="n">
        <v>2023</v>
      </c>
      <c r="BF2" t="inlineStr">
        <is>
          <t>10.1016/j.desal.2023.116372</t>
        </is>
      </c>
      <c r="BG2" t="inlineStr">
        <is>
          <t>NaCl</t>
        </is>
      </c>
      <c r="BH2" t="inlineStr">
        <is>
          <t>NaCl</t>
        </is>
      </c>
      <c r="BI2" t="n">
        <v>0.11</v>
      </c>
      <c r="BJ2" t="inlineStr">
        <is>
          <t>L/(m²·h·bar)</t>
        </is>
      </c>
      <c r="BK2" t="inlineStr">
        <is>
          <t>渗透系数(Permeance)</t>
        </is>
      </c>
      <c r="BL2" t="n">
        <v>9</v>
      </c>
      <c r="BM2" t="inlineStr">
        <is>
          <t>Effect of polymaleic acid and microwave radiations on reverse osmosis membrane's performance and properties: A response surface methodology approach</t>
        </is>
      </c>
      <c r="BN2" s="2">
        <f>IFERROR(TEXTJOIN("; ",TRUE,FILTER('concentration_review'!$AC$2:$AC$84,('concentration_review'!$A$2:$A$84=$A2)*('concentration_review'!$C$2:$C$84="aqueous_monomer"))),"")</f>
        <v/>
      </c>
      <c r="BO2" s="2">
        <f>IFERROR(TEXTJOIN("; ",TRUE,FILTER('concentration_review'!$AC$2:$AC$84,('concentration_review'!$A$2:$A$84=$A2)*('concentration_review'!$C$2:$C$84="organic_monomer"))),"")</f>
        <v/>
      </c>
      <c r="BP2" s="2">
        <f>IFERROR(TEXTJOIN("; ",TRUE,FILTER('concentration_review'!$AC$2:$AC$84,('concentration_review'!$A$2:$A$84=$A2)*('concentration_review'!$C$2:$C$84="additive"))),"")</f>
        <v/>
      </c>
      <c r="BQ2" s="2">
        <f>IFERROR(TEXTJOIN("; ",TRUE,FILTER('concentration_review'!$AC$2:$AC$84,('concentration_review'!$A$2:$A$84=$A2)*('concentration_review'!$C$2:$C$84="modifier"))),"")</f>
        <v/>
      </c>
      <c r="BR2" s="2">
        <f>IFERROR(TEXTJOIN("; ",TRUE,FILTER('concentration_review'!$AC$2:$AC$84,('concentration_review'!$A$2:$A$84=$A2)*('concentration_review'!$C$2:$C$84="test_nacl"))),"")</f>
        <v/>
      </c>
      <c r="BS2">
        <f>SUMPRODUCT((--('concentration_review'!$A$2:$A$84=$A2))*('concentration_review'!$AE$2:$AE$84&gt;0))</f>
        <v/>
      </c>
      <c r="BT2">
        <f>IF(=SUMPRODUCT((--('concentration_review'!$A$2:$A$84=$A2))*('concentration_review'!$AE$2:$AE$84&gt;0))&gt;0,1,0)</f>
        <v/>
      </c>
    </row>
    <row r="3">
      <c r="A3" t="n">
        <v>1</v>
      </c>
      <c r="B3" t="inlineStr">
        <is>
          <t>RO</t>
        </is>
      </c>
      <c r="C3" t="inlineStr">
        <is>
          <t>mm-BTEC</t>
        </is>
      </c>
      <c r="D3" t="inlineStr">
        <is>
          <t>Polyamide</t>
        </is>
      </c>
      <c r="E3" t="inlineStr">
        <is>
          <t>Interfacial polymerization (IP)</t>
        </is>
      </c>
      <c r="F3" s="2">
        <f>IFERROR(TEXTJOIN("; ",TRUE,FILTER('concentration_review'!$Z$2:$Z$84,('concentration_review'!$A$2:$A$84=$A3)*('concentration_review'!$F$2:$F$84="水相单体"))),"")</f>
        <v/>
      </c>
      <c r="G3" s="2">
        <f>IFERROR(TEXTJOIN("; ",TRUE,FILTER('concentration_review'!$AA$2:$AA$84,('concentration_review'!$A$2:$A$84=$A3)*('concentration_review'!$G$2:$G$84="水相单体浓度"))),"")</f>
        <v/>
      </c>
      <c r="H3" s="2">
        <f>IFERROR(TEXTJOIN("; ",TRUE,FILTER('concentration_review'!$AB$2:$AB$84,('concentration_review'!$A$2:$A$84=$A3)*('concentration_review'!$G$2:$G$84="水相单体浓度_单位"))),"")</f>
        <v/>
      </c>
      <c r="I3" s="2">
        <f>IFERROR(TEXTJOIN("; ",TRUE,FILTER('concentration_review'!$Z$2:$Z$84,('concentration_review'!$A$2:$A$84=$A3)*('concentration_review'!$F$2:$F$84="油相单体"))),"")</f>
        <v/>
      </c>
      <c r="J3" s="2">
        <f>IFERROR(TEXTJOIN("; ",TRUE,FILTER('concentration_review'!$AA$2:$AA$84,('concentration_review'!$A$2:$A$84=$A3)*('concentration_review'!$G$2:$G$84="油相单体浓度"))),"")</f>
        <v/>
      </c>
      <c r="K3" s="2">
        <f>IFERROR(TEXTJOIN("; ",TRUE,FILTER('concentration_review'!$AB$2:$AB$84,('concentration_review'!$A$2:$A$84=$A3)*('concentration_review'!$G$2:$G$84="油相单体浓度_单位"))),"")</f>
        <v/>
      </c>
      <c r="L3" t="inlineStr">
        <is>
          <t>Cyclohexane</t>
        </is>
      </c>
      <c r="M3" t="inlineStr">
        <is>
          <t>Polysulfone</t>
        </is>
      </c>
      <c r="N3" t="n">
        <v>10</v>
      </c>
      <c r="P3" s="2">
        <f>IFERROR(TEXTJOIN("; ",TRUE,FILTER('concentration_review'!$Z$2:$Z$84,('concentration_review'!$A$2:$A$84=$A3)*('concentration_review'!$F$2:$F$84="添加剂"))),"")</f>
        <v/>
      </c>
      <c r="Q3" s="2">
        <f>IFERROR(TEXTJOIN("; ",TRUE,FILTER('concentration_review'!$AA$2:$AA$84,('concentration_review'!$A$2:$A$84=$A3)*('concentration_review'!$G$2:$G$84="添加剂浓度"))),"")</f>
        <v/>
      </c>
      <c r="R3" s="2">
        <f>IFERROR(TEXTJOIN("; ",TRUE,FILTER('concentration_review'!$AB$2:$AB$84,('concentration_review'!$A$2:$A$84=$A3)*('concentration_review'!$G$2:$G$84="添加剂浓度_单位"))),"")</f>
        <v/>
      </c>
      <c r="S3" t="n">
        <v>20</v>
      </c>
      <c r="T3" t="inlineStr">
        <is>
          <t>s</t>
        </is>
      </c>
      <c r="W3" t="n">
        <v>60</v>
      </c>
      <c r="X3" t="inlineStr">
        <is>
          <t>℃</t>
        </is>
      </c>
      <c r="AA3" s="2">
        <f>IFERROR(TEXTJOIN("; ",TRUE,FILTER('concentration_review'!$Z$2:$Z$84,('concentration_review'!$A$2:$A$84=$A3)*('concentration_review'!$F$2:$F$84="改性剂"))),"")</f>
        <v/>
      </c>
      <c r="AB3" s="2">
        <f>IFERROR(TEXTJOIN("; ",TRUE,FILTER('concentration_review'!$AA$2:$AA$84,('concentration_review'!$A$2:$A$84=$A3)*('concentration_review'!$G$2:$G$84="改性剂浓度"))),"")</f>
        <v/>
      </c>
      <c r="AC3" s="2">
        <f>IFERROR(TEXTJOIN("; ",TRUE,FILTER('concentration_review'!$AB$2:$AB$84,('concentration_review'!$A$2:$A$84=$A3)*('concentration_review'!$G$2:$G$84="改性剂浓度_单位"))),"")</f>
        <v/>
      </c>
      <c r="AF3" t="n">
        <v>0.2</v>
      </c>
      <c r="AG3" t="inlineStr">
        <is>
          <t>µm</t>
        </is>
      </c>
      <c r="AH3" t="n">
        <v>147</v>
      </c>
      <c r="AI3" t="inlineStr">
        <is>
          <t>nm</t>
        </is>
      </c>
      <c r="AN3" t="inlineStr">
        <is>
          <t>'-NHCO-;-COOH</t>
        </is>
      </c>
      <c r="AQ3" t="n">
        <v>76</v>
      </c>
      <c r="AR3" t="inlineStr">
        <is>
          <t>°</t>
        </is>
      </c>
      <c r="AS3" t="n">
        <v>31.7</v>
      </c>
      <c r="AT3" t="inlineStr">
        <is>
          <t>L/(m² h)</t>
        </is>
      </c>
      <c r="AU3" t="n">
        <v>98.40000000000001</v>
      </c>
      <c r="AV3" t="inlineStr">
        <is>
          <t>%</t>
        </is>
      </c>
      <c r="AW3" s="2">
        <f>IFERROR(TEXTJOIN("; ",TRUE,FILTER('concentration_review'!$AA$2:$AA$84,('concentration_review'!$A$2:$A$84=$A3)*('concentration_review'!$G$2:$G$84="测试NaCl浓度"))),"")</f>
        <v/>
      </c>
      <c r="AX3" s="2">
        <f>IFERROR(TEXTJOIN("; ",TRUE,FILTER('concentration_review'!$AB$2:$AB$84,('concentration_review'!$A$2:$A$84=$A3)*('concentration_review'!$G$2:$G$84="测试NaCl浓度_单位"))),"")</f>
        <v/>
      </c>
      <c r="BA3" t="n">
        <v>2</v>
      </c>
      <c r="BB3" t="inlineStr">
        <is>
          <t>MPa</t>
        </is>
      </c>
      <c r="BC3" t="inlineStr">
        <is>
          <t>Cross-flow</t>
        </is>
      </c>
      <c r="BD3" t="inlineStr">
        <is>
          <t>10.1016_j.memsci.2008.02.022.pdf</t>
        </is>
      </c>
      <c r="BE3" t="n">
        <v>2008</v>
      </c>
      <c r="BF3" t="inlineStr">
        <is>
          <t>10.1016/j.memsci.2008.02.022</t>
        </is>
      </c>
      <c r="BG3" t="inlineStr">
        <is>
          <t>NaCl</t>
        </is>
      </c>
      <c r="BH3" t="inlineStr">
        <is>
          <t>NaCl</t>
        </is>
      </c>
      <c r="BI3" t="n">
        <v>1.585</v>
      </c>
      <c r="BJ3" t="inlineStr">
        <is>
          <t>L/(m²·h·bar)</t>
        </is>
      </c>
      <c r="BK3" t="inlineStr">
        <is>
          <t>渗透系数(Permeance)</t>
        </is>
      </c>
      <c r="BL3" t="n">
        <v>20</v>
      </c>
      <c r="BM3" t="inlineStr">
        <is>
          <t>Polyamide thin film composite membranes prepared from isomeric biphenyl tetraacyl chloride and m-phenylenediamine</t>
        </is>
      </c>
      <c r="BN3" s="2">
        <f>IFERROR(TEXTJOIN("; ",TRUE,FILTER('concentration_review'!$AC$2:$AC$84,('concentration_review'!$A$2:$A$84=$A3)*('concentration_review'!$C$2:$C$84="aqueous_monomer"))),"")</f>
        <v/>
      </c>
      <c r="BO3" s="2">
        <f>IFERROR(TEXTJOIN("; ",TRUE,FILTER('concentration_review'!$AC$2:$AC$84,('concentration_review'!$A$2:$A$84=$A3)*('concentration_review'!$C$2:$C$84="organic_monomer"))),"")</f>
        <v/>
      </c>
      <c r="BP3" s="2">
        <f>IFERROR(TEXTJOIN("; ",TRUE,FILTER('concentration_review'!$AC$2:$AC$84,('concentration_review'!$A$2:$A$84=$A3)*('concentration_review'!$C$2:$C$84="additive"))),"")</f>
        <v/>
      </c>
      <c r="BQ3" s="2">
        <f>IFERROR(TEXTJOIN("; ",TRUE,FILTER('concentration_review'!$AC$2:$AC$84,('concentration_review'!$A$2:$A$84=$A3)*('concentration_review'!$C$2:$C$84="modifier"))),"")</f>
        <v/>
      </c>
      <c r="BR3" s="2">
        <f>IFERROR(TEXTJOIN("; ",TRUE,FILTER('concentration_review'!$AC$2:$AC$84,('concentration_review'!$A$2:$A$84=$A3)*('concentration_review'!$C$2:$C$84="test_nacl"))),"")</f>
        <v/>
      </c>
      <c r="BS3">
        <f>SUMPRODUCT((--('concentration_review'!$A$2:$A$84=$A3))*('concentration_review'!$AE$2:$AE$84&gt;0))</f>
        <v/>
      </c>
      <c r="BT3">
        <f>IF(=SUMPRODUCT((--('concentration_review'!$A$2:$A$84=$A3))*('concentration_review'!$AE$2:$AE$84&gt;0))&gt;0,1,0)</f>
        <v/>
      </c>
    </row>
    <row r="4">
      <c r="A4" t="n">
        <v>2</v>
      </c>
      <c r="B4" t="inlineStr">
        <is>
          <t>RO</t>
        </is>
      </c>
      <c r="C4" t="inlineStr">
        <is>
          <t>LIP 2 cycles</t>
        </is>
      </c>
      <c r="D4" t="inlineStr">
        <is>
          <t>Polyamide</t>
        </is>
      </c>
      <c r="E4" t="inlineStr">
        <is>
          <t>Layered interfacial polymerization</t>
        </is>
      </c>
      <c r="F4" s="2">
        <f>IFERROR(TEXTJOIN("; ",TRUE,FILTER('concentration_review'!$Z$2:$Z$84,('concentration_review'!$A$2:$A$84=$A4)*('concentration_review'!$F$2:$F$84="水相单体"))),"")</f>
        <v/>
      </c>
      <c r="G4" s="2">
        <f>IFERROR(TEXTJOIN("; ",TRUE,FILTER('concentration_review'!$AA$2:$AA$84,('concentration_review'!$A$2:$A$84=$A4)*('concentration_review'!$G$2:$G$84="水相单体浓度"))),"")</f>
        <v/>
      </c>
      <c r="H4" s="2">
        <f>IFERROR(TEXTJOIN("; ",TRUE,FILTER('concentration_review'!$AB$2:$AB$84,('concentration_review'!$A$2:$A$84=$A4)*('concentration_review'!$G$2:$G$84="水相单体浓度_单位"))),"")</f>
        <v/>
      </c>
      <c r="I4" s="2">
        <f>IFERROR(TEXTJOIN("; ",TRUE,FILTER('concentration_review'!$Z$2:$Z$84,('concentration_review'!$A$2:$A$84=$A4)*('concentration_review'!$F$2:$F$84="油相单体"))),"")</f>
        <v/>
      </c>
      <c r="J4" s="2">
        <f>IFERROR(TEXTJOIN("; ",TRUE,FILTER('concentration_review'!$AA$2:$AA$84,('concentration_review'!$A$2:$A$84=$A4)*('concentration_review'!$G$2:$G$84="油相单体浓度"))),"")</f>
        <v/>
      </c>
      <c r="K4" s="2">
        <f>IFERROR(TEXTJOIN("; ",TRUE,FILTER('concentration_review'!$AB$2:$AB$84,('concentration_review'!$A$2:$A$84=$A4)*('concentration_review'!$G$2:$G$84="油相单体浓度_单位"))),"")</f>
        <v/>
      </c>
      <c r="L4" t="inlineStr">
        <is>
          <t>n-hexane</t>
        </is>
      </c>
      <c r="M4" t="inlineStr">
        <is>
          <t>Hydrolyzed PAN with PEI/PAA interlayer</t>
        </is>
      </c>
      <c r="P4" s="2">
        <f>IFERROR(TEXTJOIN("; ",TRUE,FILTER('concentration_review'!$Z$2:$Z$84,('concentration_review'!$A$2:$A$84=$A4)*('concentration_review'!$F$2:$F$84="添加剂"))),"")</f>
        <v/>
      </c>
      <c r="Q4" s="2">
        <f>IFERROR(TEXTJOIN("; ",TRUE,FILTER('concentration_review'!$AA$2:$AA$84,('concentration_review'!$A$2:$A$84=$A4)*('concentration_review'!$G$2:$G$84="添加剂浓度"))),"")</f>
        <v/>
      </c>
      <c r="R4" s="2">
        <f>IFERROR(TEXTJOIN("; ",TRUE,FILTER('concentration_review'!$AB$2:$AB$84,('concentration_review'!$A$2:$A$84=$A4)*('concentration_review'!$G$2:$G$84="添加剂浓度_单位"))),"")</f>
        <v/>
      </c>
      <c r="S4" t="n">
        <v>1</v>
      </c>
      <c r="T4" t="inlineStr">
        <is>
          <t>min</t>
        </is>
      </c>
      <c r="W4" t="n">
        <v>70</v>
      </c>
      <c r="X4" t="inlineStr">
        <is>
          <t>℃</t>
        </is>
      </c>
      <c r="Y4" t="n">
        <v>2</v>
      </c>
      <c r="Z4" t="inlineStr">
        <is>
          <t>min</t>
        </is>
      </c>
      <c r="AA4" s="2">
        <f>IFERROR(TEXTJOIN("; ",TRUE,FILTER('concentration_review'!$Z$2:$Z$84,('concentration_review'!$A$2:$A$84=$A4)*('concentration_review'!$F$2:$F$84="改性剂"))),"")</f>
        <v/>
      </c>
      <c r="AB4" s="2">
        <f>IFERROR(TEXTJOIN("; ",TRUE,FILTER('concentration_review'!$AA$2:$AA$84,('concentration_review'!$A$2:$A$84=$A4)*('concentration_review'!$G$2:$G$84="改性剂浓度"))),"")</f>
        <v/>
      </c>
      <c r="AC4" s="2">
        <f>IFERROR(TEXTJOIN("; ",TRUE,FILTER('concentration_review'!$AB$2:$AB$84,('concentration_review'!$A$2:$A$84=$A4)*('concentration_review'!$G$2:$G$84="改性剂浓度_单位"))),"")</f>
        <v/>
      </c>
      <c r="AF4" t="inlineStr">
        <is>
          <t>~21</t>
        </is>
      </c>
      <c r="AG4" t="inlineStr">
        <is>
          <t>nm</t>
        </is>
      </c>
      <c r="AH4" t="inlineStr">
        <is>
          <t>~6</t>
        </is>
      </c>
      <c r="AI4" t="inlineStr">
        <is>
          <t>nm</t>
        </is>
      </c>
      <c r="AN4" t="inlineStr">
        <is>
          <t>C=O;N-H</t>
        </is>
      </c>
      <c r="AS4" t="n">
        <v>1.34</v>
      </c>
      <c r="AT4" t="inlineStr">
        <is>
          <t>L m⁻² h⁻¹ bar⁻¹</t>
        </is>
      </c>
      <c r="AU4" t="n">
        <v>99</v>
      </c>
      <c r="AV4" t="inlineStr">
        <is>
          <t>%</t>
        </is>
      </c>
      <c r="AW4" s="2">
        <f>IFERROR(TEXTJOIN("; ",TRUE,FILTER('concentration_review'!$AA$2:$AA$84,('concentration_review'!$A$2:$A$84=$A4)*('concentration_review'!$G$2:$G$84="测试NaCl浓度"))),"")</f>
        <v/>
      </c>
      <c r="AX4" s="2">
        <f>IFERROR(TEXTJOIN("; ",TRUE,FILTER('concentration_review'!$AB$2:$AB$84,('concentration_review'!$A$2:$A$84=$A4)*('concentration_review'!$G$2:$G$84="测试NaCl浓度_单位"))),"")</f>
        <v/>
      </c>
      <c r="BA4" t="n">
        <v>15.5</v>
      </c>
      <c r="BB4" t="inlineStr">
        <is>
          <t>bar</t>
        </is>
      </c>
      <c r="BC4" t="inlineStr">
        <is>
          <t>Cross-flow</t>
        </is>
      </c>
      <c r="BD4" t="inlineStr">
        <is>
          <t>10.1016_j.memsci.2016.12.066.pdf</t>
        </is>
      </c>
      <c r="BE4" t="n">
        <v>2017</v>
      </c>
      <c r="BF4" t="inlineStr">
        <is>
          <t>10.1016/j.memsci.2016.12.066</t>
        </is>
      </c>
      <c r="BG4" t="inlineStr">
        <is>
          <t>NaCl</t>
        </is>
      </c>
      <c r="BH4" t="inlineStr">
        <is>
          <t>NaCl</t>
        </is>
      </c>
      <c r="BI4" t="n">
        <v>0.08649999999999999</v>
      </c>
      <c r="BJ4" t="inlineStr">
        <is>
          <t>L/(m²·h·bar)</t>
        </is>
      </c>
      <c r="BK4" t="inlineStr">
        <is>
          <t>渗透系数(Permeance)</t>
        </is>
      </c>
      <c r="BL4" t="n">
        <v>60</v>
      </c>
      <c r="BM4" t="inlineStr">
        <is>
          <t>Thin film composite reverse osmosis membranes prepared via layered interfacial polymerization</t>
        </is>
      </c>
      <c r="BN4" s="2">
        <f>IFERROR(TEXTJOIN("; ",TRUE,FILTER('concentration_review'!$AC$2:$AC$84,('concentration_review'!$A$2:$A$84=$A4)*('concentration_review'!$C$2:$C$84="aqueous_monomer"))),"")</f>
        <v/>
      </c>
      <c r="BO4" s="2">
        <f>IFERROR(TEXTJOIN("; ",TRUE,FILTER('concentration_review'!$AC$2:$AC$84,('concentration_review'!$A$2:$A$84=$A4)*('concentration_review'!$C$2:$C$84="organic_monomer"))),"")</f>
        <v/>
      </c>
      <c r="BP4" s="2">
        <f>IFERROR(TEXTJOIN("; ",TRUE,FILTER('concentration_review'!$AC$2:$AC$84,('concentration_review'!$A$2:$A$84=$A4)*('concentration_review'!$C$2:$C$84="additive"))),"")</f>
        <v/>
      </c>
      <c r="BQ4" s="2">
        <f>IFERROR(TEXTJOIN("; ",TRUE,FILTER('concentration_review'!$AC$2:$AC$84,('concentration_review'!$A$2:$A$84=$A4)*('concentration_review'!$C$2:$C$84="modifier"))),"")</f>
        <v/>
      </c>
      <c r="BR4" s="2">
        <f>IFERROR(TEXTJOIN("; ",TRUE,FILTER('concentration_review'!$AC$2:$AC$84,('concentration_review'!$A$2:$A$84=$A4)*('concentration_review'!$C$2:$C$84="test_nacl"))),"")</f>
        <v/>
      </c>
      <c r="BS4">
        <f>SUMPRODUCT((--('concentration_review'!$A$2:$A$84=$A4))*('concentration_review'!$AE$2:$AE$84&gt;0))</f>
        <v/>
      </c>
      <c r="BT4">
        <f>IF(=SUMPRODUCT((--('concentration_review'!$A$2:$A$84=$A4))*('concentration_review'!$AE$2:$AE$84&gt;0))&gt;0,1,0)</f>
        <v/>
      </c>
    </row>
    <row r="5">
      <c r="A5" t="n">
        <v>3</v>
      </c>
      <c r="B5" t="inlineStr">
        <is>
          <t>RO</t>
        </is>
      </c>
      <c r="C5" t="inlineStr">
        <is>
          <t>LIP 0 cycle</t>
        </is>
      </c>
      <c r="D5" t="inlineStr">
        <is>
          <t>PEI/PAA</t>
        </is>
      </c>
      <c r="E5" t="inlineStr">
        <is>
          <t>Polyelectrolyte multilayer deposition on hydrolyzed PAN</t>
        </is>
      </c>
      <c r="F5" s="2">
        <f>IFERROR(TEXTJOIN("; ",TRUE,FILTER('concentration_review'!$Z$2:$Z$84,('concentration_review'!$A$2:$A$84=$A5)*('concentration_review'!$F$2:$F$84="水相单体"))),"")</f>
        <v/>
      </c>
      <c r="G5" s="2">
        <f>IFERROR(TEXTJOIN("; ",TRUE,FILTER('concentration_review'!$AA$2:$AA$84,('concentration_review'!$A$2:$A$84=$A5)*('concentration_review'!$G$2:$G$84="水相单体浓度"))),"")</f>
        <v/>
      </c>
      <c r="H5" s="2">
        <f>IFERROR(TEXTJOIN("; ",TRUE,FILTER('concentration_review'!$AB$2:$AB$84,('concentration_review'!$A$2:$A$84=$A5)*('concentration_review'!$G$2:$G$84="水相单体浓度_单位"))),"")</f>
        <v/>
      </c>
      <c r="I5" s="2">
        <f>IFERROR(TEXTJOIN("; ",TRUE,FILTER('concentration_review'!$Z$2:$Z$84,('concentration_review'!$A$2:$A$84=$A5)*('concentration_review'!$F$2:$F$84="油相单体"))),"")</f>
        <v/>
      </c>
      <c r="J5" s="2">
        <f>IFERROR(TEXTJOIN("; ",TRUE,FILTER('concentration_review'!$AA$2:$AA$84,('concentration_review'!$A$2:$A$84=$A5)*('concentration_review'!$G$2:$G$84="油相单体浓度"))),"")</f>
        <v/>
      </c>
      <c r="K5" s="2">
        <f>IFERROR(TEXTJOIN("; ",TRUE,FILTER('concentration_review'!$AB$2:$AB$84,('concentration_review'!$A$2:$A$84=$A5)*('concentration_review'!$G$2:$G$84="油相单体浓度_单位"))),"")</f>
        <v/>
      </c>
      <c r="M5" t="inlineStr">
        <is>
          <t>Hydrolyzed PAN</t>
        </is>
      </c>
      <c r="P5" s="2">
        <f>IFERROR(TEXTJOIN("; ",TRUE,FILTER('concentration_review'!$Z$2:$Z$84,('concentration_review'!$A$2:$A$84=$A5)*('concentration_review'!$F$2:$F$84="添加剂"))),"")</f>
        <v/>
      </c>
      <c r="Q5" s="2">
        <f>IFERROR(TEXTJOIN("; ",TRUE,FILTER('concentration_review'!$AA$2:$AA$84,('concentration_review'!$A$2:$A$84=$A5)*('concentration_review'!$G$2:$G$84="添加剂浓度"))),"")</f>
        <v/>
      </c>
      <c r="R5" s="2">
        <f>IFERROR(TEXTJOIN("; ",TRUE,FILTER('concentration_review'!$AB$2:$AB$84,('concentration_review'!$A$2:$A$84=$A5)*('concentration_review'!$G$2:$G$84="添加剂浓度_单位"))),"")</f>
        <v/>
      </c>
      <c r="AA5" s="2">
        <f>IFERROR(TEXTJOIN("; ",TRUE,FILTER('concentration_review'!$Z$2:$Z$84,('concentration_review'!$A$2:$A$84=$A5)*('concentration_review'!$F$2:$F$84="改性剂"))),"")</f>
        <v/>
      </c>
      <c r="AB5" s="2">
        <f>IFERROR(TEXTJOIN("; ",TRUE,FILTER('concentration_review'!$AA$2:$AA$84,('concentration_review'!$A$2:$A$84=$A5)*('concentration_review'!$G$2:$G$84="改性剂浓度"))),"")</f>
        <v/>
      </c>
      <c r="AC5" s="2">
        <f>IFERROR(TEXTJOIN("; ",TRUE,FILTER('concentration_review'!$AB$2:$AB$84,('concentration_review'!$A$2:$A$84=$A5)*('concentration_review'!$G$2:$G$84="改性剂浓度_单位"))),"")</f>
        <v/>
      </c>
      <c r="AD5" t="inlineStr">
        <is>
          <t>15;10</t>
        </is>
      </c>
      <c r="AE5" t="inlineStr">
        <is>
          <t>min;min</t>
        </is>
      </c>
      <c r="AH5" t="inlineStr">
        <is>
          <t>~8.5</t>
        </is>
      </c>
      <c r="AI5" t="inlineStr">
        <is>
          <t>nm</t>
        </is>
      </c>
      <c r="AS5" t="n">
        <v>7.23</v>
      </c>
      <c r="AT5" t="inlineStr">
        <is>
          <t>L m⁻² h⁻¹ bar⁻¹</t>
        </is>
      </c>
      <c r="AU5" t="n">
        <v>33.3</v>
      </c>
      <c r="AV5" t="inlineStr">
        <is>
          <t>%</t>
        </is>
      </c>
      <c r="AW5" s="2">
        <f>IFERROR(TEXTJOIN("; ",TRUE,FILTER('concentration_review'!$AA$2:$AA$84,('concentration_review'!$A$2:$A$84=$A5)*('concentration_review'!$G$2:$G$84="测试NaCl浓度"))),"")</f>
        <v/>
      </c>
      <c r="AX5" s="2">
        <f>IFERROR(TEXTJOIN("; ",TRUE,FILTER('concentration_review'!$AB$2:$AB$84,('concentration_review'!$A$2:$A$84=$A5)*('concentration_review'!$G$2:$G$84="测试NaCl浓度_单位"))),"")</f>
        <v/>
      </c>
      <c r="BA5" t="n">
        <v>15.5</v>
      </c>
      <c r="BB5" t="inlineStr">
        <is>
          <t>bar</t>
        </is>
      </c>
      <c r="BC5" t="inlineStr">
        <is>
          <t>Cross-flow</t>
        </is>
      </c>
      <c r="BD5" t="inlineStr">
        <is>
          <t>10.1016_j.memsci.2016.12.066.pdf</t>
        </is>
      </c>
      <c r="BE5" t="n">
        <v>2017</v>
      </c>
      <c r="BF5" t="inlineStr">
        <is>
          <t>10.1016/j.memsci.2016.12.066</t>
        </is>
      </c>
      <c r="BG5" t="inlineStr">
        <is>
          <t>NaCl</t>
        </is>
      </c>
      <c r="BH5" t="inlineStr">
        <is>
          <t>NaCl</t>
        </is>
      </c>
      <c r="BI5" t="n">
        <v>0.4665</v>
      </c>
      <c r="BJ5" t="inlineStr">
        <is>
          <t>L/(m²·h·bar)</t>
        </is>
      </c>
      <c r="BK5" t="inlineStr">
        <is>
          <t>渗透系数(Permeance)</t>
        </is>
      </c>
      <c r="BM5" t="inlineStr">
        <is>
          <t>Thin film composite reverse osmosis membranes prepared via layered interfacial polymerization</t>
        </is>
      </c>
      <c r="BN5" s="2">
        <f>IFERROR(TEXTJOIN("; ",TRUE,FILTER('concentration_review'!$AC$2:$AC$84,('concentration_review'!$A$2:$A$84=$A5)*('concentration_review'!$C$2:$C$84="aqueous_monomer"))),"")</f>
        <v/>
      </c>
      <c r="BO5" s="2">
        <f>IFERROR(TEXTJOIN("; ",TRUE,FILTER('concentration_review'!$AC$2:$AC$84,('concentration_review'!$A$2:$A$84=$A5)*('concentration_review'!$C$2:$C$84="organic_monomer"))),"")</f>
        <v/>
      </c>
      <c r="BP5" s="2">
        <f>IFERROR(TEXTJOIN("; ",TRUE,FILTER('concentration_review'!$AC$2:$AC$84,('concentration_review'!$A$2:$A$84=$A5)*('concentration_review'!$C$2:$C$84="additive"))),"")</f>
        <v/>
      </c>
      <c r="BQ5" s="2">
        <f>IFERROR(TEXTJOIN("; ",TRUE,FILTER('concentration_review'!$AC$2:$AC$84,('concentration_review'!$A$2:$A$84=$A5)*('concentration_review'!$C$2:$C$84="modifier"))),"")</f>
        <v/>
      </c>
      <c r="BR5" s="2">
        <f>IFERROR(TEXTJOIN("; ",TRUE,FILTER('concentration_review'!$AC$2:$AC$84,('concentration_review'!$A$2:$A$84=$A5)*('concentration_review'!$C$2:$C$84="test_nacl"))),"")</f>
        <v/>
      </c>
      <c r="BS5">
        <f>SUMPRODUCT((--('concentration_review'!$A$2:$A$84=$A5))*('concentration_review'!$AE$2:$AE$84&gt;0))</f>
        <v/>
      </c>
      <c r="BT5">
        <f>IF(=SUMPRODUCT((--('concentration_review'!$A$2:$A$84=$A5))*('concentration_review'!$AE$2:$AE$84&gt;0))&gt;0,1,0)</f>
        <v/>
      </c>
    </row>
    <row r="6">
      <c r="A6" t="n">
        <v>4</v>
      </c>
      <c r="B6" t="inlineStr">
        <is>
          <t>RO</t>
        </is>
      </c>
      <c r="C6" t="inlineStr">
        <is>
          <t>PSf/TA-RO-1.0DMC</t>
        </is>
      </c>
      <c r="D6" t="inlineStr">
        <is>
          <t>Polyamide</t>
        </is>
      </c>
      <c r="E6" t="inlineStr">
        <is>
          <t>Interfacial polymerization (IP)</t>
        </is>
      </c>
      <c r="F6" s="2">
        <f>IFERROR(TEXTJOIN("; ",TRUE,FILTER('concentration_review'!$Z$2:$Z$84,('concentration_review'!$A$2:$A$84=$A6)*('concentration_review'!$F$2:$F$84="水相单体"))),"")</f>
        <v/>
      </c>
      <c r="G6" s="2">
        <f>IFERROR(TEXTJOIN("; ",TRUE,FILTER('concentration_review'!$AA$2:$AA$84,('concentration_review'!$A$2:$A$84=$A6)*('concentration_review'!$G$2:$G$84="水相单体浓度"))),"")</f>
        <v/>
      </c>
      <c r="H6" s="2">
        <f>IFERROR(TEXTJOIN("; ",TRUE,FILTER('concentration_review'!$AB$2:$AB$84,('concentration_review'!$A$2:$A$84=$A6)*('concentration_review'!$G$2:$G$84="水相单体浓度_单位"))),"")</f>
        <v/>
      </c>
      <c r="I6" s="2">
        <f>IFERROR(TEXTJOIN("; ",TRUE,FILTER('concentration_review'!$Z$2:$Z$84,('concentration_review'!$A$2:$A$84=$A6)*('concentration_review'!$F$2:$F$84="油相单体"))),"")</f>
        <v/>
      </c>
      <c r="J6" s="2">
        <f>IFERROR(TEXTJOIN("; ",TRUE,FILTER('concentration_review'!$AA$2:$AA$84,('concentration_review'!$A$2:$A$84=$A6)*('concentration_review'!$G$2:$G$84="油相单体浓度"))),"")</f>
        <v/>
      </c>
      <c r="K6" s="2">
        <f>IFERROR(TEXTJOIN("; ",TRUE,FILTER('concentration_review'!$AB$2:$AB$84,('concentration_review'!$A$2:$A$84=$A6)*('concentration_review'!$G$2:$G$84="油相单体浓度_单位"))),"")</f>
        <v/>
      </c>
      <c r="L6" t="inlineStr">
        <is>
          <t>Heptane; DMC</t>
        </is>
      </c>
      <c r="M6" t="inlineStr">
        <is>
          <t>PSf</t>
        </is>
      </c>
      <c r="P6" s="2">
        <f>IFERROR(TEXTJOIN("; ",TRUE,FILTER('concentration_review'!$Z$2:$Z$84,('concentration_review'!$A$2:$A$84=$A6)*('concentration_review'!$F$2:$F$84="添加剂"))),"")</f>
        <v/>
      </c>
      <c r="Q6" s="2">
        <f>IFERROR(TEXTJOIN("; ",TRUE,FILTER('concentration_review'!$AA$2:$AA$84,('concentration_review'!$A$2:$A$84=$A6)*('concentration_review'!$G$2:$G$84="添加剂浓度"))),"")</f>
        <v/>
      </c>
      <c r="R6" s="2">
        <f>IFERROR(TEXTJOIN("; ",TRUE,FILTER('concentration_review'!$AB$2:$AB$84,('concentration_review'!$A$2:$A$84=$A6)*('concentration_review'!$G$2:$G$84="添加剂浓度_单位"))),"")</f>
        <v/>
      </c>
      <c r="S6" t="n">
        <v>30</v>
      </c>
      <c r="T6" t="inlineStr">
        <is>
          <t>s</t>
        </is>
      </c>
      <c r="W6" t="n">
        <v>80</v>
      </c>
      <c r="X6" t="inlineStr">
        <is>
          <t>℃</t>
        </is>
      </c>
      <c r="Y6" t="n">
        <v>5</v>
      </c>
      <c r="Z6" t="inlineStr">
        <is>
          <t>min</t>
        </is>
      </c>
      <c r="AA6" s="2">
        <f>IFERROR(TEXTJOIN("; ",TRUE,FILTER('concentration_review'!$Z$2:$Z$84,('concentration_review'!$A$2:$A$84=$A6)*('concentration_review'!$F$2:$F$84="改性剂"))),"")</f>
        <v/>
      </c>
      <c r="AB6" s="2">
        <f>IFERROR(TEXTJOIN("; ",TRUE,FILTER('concentration_review'!$AA$2:$AA$84,('concentration_review'!$A$2:$A$84=$A6)*('concentration_review'!$G$2:$G$84="改性剂浓度"))),"")</f>
        <v/>
      </c>
      <c r="AC6" s="2">
        <f>IFERROR(TEXTJOIN("; ",TRUE,FILTER('concentration_review'!$AB$2:$AB$84,('concentration_review'!$A$2:$A$84=$A6)*('concentration_review'!$G$2:$G$84="改性剂浓度_单位"))),"")</f>
        <v/>
      </c>
      <c r="AS6" t="n">
        <v>50</v>
      </c>
      <c r="AT6" t="inlineStr">
        <is>
          <t>L/(m²·h)</t>
        </is>
      </c>
      <c r="AU6" t="n">
        <v>99</v>
      </c>
      <c r="AV6" t="inlineStr">
        <is>
          <t>%</t>
        </is>
      </c>
      <c r="AW6" s="2">
        <f>IFERROR(TEXTJOIN("; ",TRUE,FILTER('concentration_review'!$AA$2:$AA$84,('concentration_review'!$A$2:$A$84=$A6)*('concentration_review'!$G$2:$G$84="测试NaCl浓度"))),"")</f>
        <v/>
      </c>
      <c r="AX6" s="2">
        <f>IFERROR(TEXTJOIN("; ",TRUE,FILTER('concentration_review'!$AB$2:$AB$84,('concentration_review'!$A$2:$A$84=$A6)*('concentration_review'!$G$2:$G$84="测试NaCl浓度_单位"))),"")</f>
        <v/>
      </c>
      <c r="BA6" t="n">
        <v>15.5</v>
      </c>
      <c r="BB6" t="inlineStr">
        <is>
          <t>bar</t>
        </is>
      </c>
      <c r="BC6" t="inlineStr">
        <is>
          <t>Cross-flow</t>
        </is>
      </c>
      <c r="BD6" t="inlineStr">
        <is>
          <t>10.1016_j.memsci.2019.117474.pdf</t>
        </is>
      </c>
      <c r="BE6" t="n">
        <v>2020</v>
      </c>
      <c r="BF6" t="inlineStr">
        <is>
          <t>10.1016/j.memsci.2019.117474</t>
        </is>
      </c>
      <c r="BG6" t="inlineStr">
        <is>
          <t>NaCl</t>
        </is>
      </c>
      <c r="BH6" t="inlineStr">
        <is>
          <t>NaCl</t>
        </is>
      </c>
      <c r="BI6" t="n">
        <v>3.2258</v>
      </c>
      <c r="BJ6" t="inlineStr">
        <is>
          <t>L/(m²·h·bar)</t>
        </is>
      </c>
      <c r="BK6" t="inlineStr">
        <is>
          <t>渗透系数(Permeance)</t>
        </is>
      </c>
      <c r="BL6" t="n">
        <v>30</v>
      </c>
      <c r="BM6" t="inlineStr">
        <is>
          <t>Combining tannic acid-modified support and a green co-solvent for high performance reverse osmosis membranes</t>
        </is>
      </c>
      <c r="BN6" s="2">
        <f>IFERROR(TEXTJOIN("; ",TRUE,FILTER('concentration_review'!$AC$2:$AC$84,('concentration_review'!$A$2:$A$84=$A6)*('concentration_review'!$C$2:$C$84="aqueous_monomer"))),"")</f>
        <v/>
      </c>
      <c r="BO6" s="2">
        <f>IFERROR(TEXTJOIN("; ",TRUE,FILTER('concentration_review'!$AC$2:$AC$84,('concentration_review'!$A$2:$A$84=$A6)*('concentration_review'!$C$2:$C$84="organic_monomer"))),"")</f>
        <v/>
      </c>
      <c r="BP6" s="2">
        <f>IFERROR(TEXTJOIN("; ",TRUE,FILTER('concentration_review'!$AC$2:$AC$84,('concentration_review'!$A$2:$A$84=$A6)*('concentration_review'!$C$2:$C$84="additive"))),"")</f>
        <v/>
      </c>
      <c r="BQ6" s="2">
        <f>IFERROR(TEXTJOIN("; ",TRUE,FILTER('concentration_review'!$AC$2:$AC$84,('concentration_review'!$A$2:$A$84=$A6)*('concentration_review'!$C$2:$C$84="modifier"))),"")</f>
        <v/>
      </c>
      <c r="BR6" s="2">
        <f>IFERROR(TEXTJOIN("; ",TRUE,FILTER('concentration_review'!$AC$2:$AC$84,('concentration_review'!$A$2:$A$84=$A6)*('concentration_review'!$C$2:$C$84="test_nacl"))),"")</f>
        <v/>
      </c>
      <c r="BS6">
        <f>SUMPRODUCT((--('concentration_review'!$A$2:$A$84=$A6))*('concentration_review'!$AE$2:$AE$84&gt;0))</f>
        <v/>
      </c>
      <c r="BT6">
        <f>IF(=SUMPRODUCT((--('concentration_review'!$A$2:$A$84=$A6))*('concentration_review'!$AE$2:$AE$84&gt;0))&gt;0,1,0)</f>
        <v/>
      </c>
    </row>
    <row r="7">
      <c r="A7" t="n">
        <v>5</v>
      </c>
      <c r="B7" t="inlineStr">
        <is>
          <t>RO</t>
        </is>
      </c>
      <c r="C7" t="inlineStr">
        <is>
          <t>MDOPC/OG</t>
        </is>
      </c>
      <c r="D7" t="inlineStr">
        <is>
          <t>Polyamide</t>
        </is>
      </c>
      <c r="E7" t="inlineStr">
        <is>
          <t>Interfacial polymerization (IP)</t>
        </is>
      </c>
      <c r="F7" s="2">
        <f>IFERROR(TEXTJOIN("; ",TRUE,FILTER('concentration_review'!$Z$2:$Z$84,('concentration_review'!$A$2:$A$84=$A7)*('concentration_review'!$F$2:$F$84="水相单体"))),"")</f>
        <v/>
      </c>
      <c r="G7" s="2">
        <f>IFERROR(TEXTJOIN("; ",TRUE,FILTER('concentration_review'!$AA$2:$AA$84,('concentration_review'!$A$2:$A$84=$A7)*('concentration_review'!$G$2:$G$84="水相单体浓度"))),"")</f>
        <v/>
      </c>
      <c r="H7" s="2">
        <f>IFERROR(TEXTJOIN("; ",TRUE,FILTER('concentration_review'!$AB$2:$AB$84,('concentration_review'!$A$2:$A$84=$A7)*('concentration_review'!$G$2:$G$84="水相单体浓度_单位"))),"")</f>
        <v/>
      </c>
      <c r="I7" s="2">
        <f>IFERROR(TEXTJOIN("; ",TRUE,FILTER('concentration_review'!$Z$2:$Z$84,('concentration_review'!$A$2:$A$84=$A7)*('concentration_review'!$F$2:$F$84="油相单体"))),"")</f>
        <v/>
      </c>
      <c r="J7" s="2">
        <f>IFERROR(TEXTJOIN("; ",TRUE,FILTER('concentration_review'!$AA$2:$AA$84,('concentration_review'!$A$2:$A$84=$A7)*('concentration_review'!$G$2:$G$84="油相单体浓度"))),"")</f>
        <v/>
      </c>
      <c r="K7" s="2">
        <f>IFERROR(TEXTJOIN("; ",TRUE,FILTER('concentration_review'!$AB$2:$AB$84,('concentration_review'!$A$2:$A$84=$A7)*('concentration_review'!$G$2:$G$84="油相单体浓度_单位"))),"")</f>
        <v/>
      </c>
      <c r="L7" t="inlineStr">
        <is>
          <t>Isopar G</t>
        </is>
      </c>
      <c r="M7" t="inlineStr">
        <is>
          <t>PSF</t>
        </is>
      </c>
      <c r="P7" s="2">
        <f>IFERROR(TEXTJOIN("; ",TRUE,FILTER('concentration_review'!$Z$2:$Z$84,('concentration_review'!$A$2:$A$84=$A7)*('concentration_review'!$F$2:$F$84="添加剂"))),"")</f>
        <v/>
      </c>
      <c r="Q7" s="2">
        <f>IFERROR(TEXTJOIN("; ",TRUE,FILTER('concentration_review'!$AA$2:$AA$84,('concentration_review'!$A$2:$A$84=$A7)*('concentration_review'!$G$2:$G$84="添加剂浓度"))),"")</f>
        <v/>
      </c>
      <c r="R7" s="2">
        <f>IFERROR(TEXTJOIN("; ",TRUE,FILTER('concentration_review'!$AB$2:$AB$84,('concentration_review'!$A$2:$A$84=$A7)*('concentration_review'!$G$2:$G$84="添加剂浓度_单位"))),"")</f>
        <v/>
      </c>
      <c r="S7" t="n">
        <v>1</v>
      </c>
      <c r="T7" t="inlineStr">
        <is>
          <t>min</t>
        </is>
      </c>
      <c r="W7" t="n">
        <v>90</v>
      </c>
      <c r="X7" t="inlineStr">
        <is>
          <t>℃</t>
        </is>
      </c>
      <c r="Y7" t="n">
        <v>6</v>
      </c>
      <c r="Z7" t="inlineStr">
        <is>
          <t>min</t>
        </is>
      </c>
      <c r="AA7" s="2">
        <f>IFERROR(TEXTJOIN("; ",TRUE,FILTER('concentration_review'!$Z$2:$Z$84,('concentration_review'!$A$2:$A$84=$A7)*('concentration_review'!$F$2:$F$84="改性剂"))),"")</f>
        <v/>
      </c>
      <c r="AB7" s="2">
        <f>IFERROR(TEXTJOIN("; ",TRUE,FILTER('concentration_review'!$AA$2:$AA$84,('concentration_review'!$A$2:$A$84=$A7)*('concentration_review'!$G$2:$G$84="改性剂浓度"))),"")</f>
        <v/>
      </c>
      <c r="AC7" s="2">
        <f>IFERROR(TEXTJOIN("; ",TRUE,FILTER('concentration_review'!$AB$2:$AB$84,('concentration_review'!$A$2:$A$84=$A7)*('concentration_review'!$G$2:$G$84="改性剂浓度_单位"))),"")</f>
        <v/>
      </c>
      <c r="AF7" t="n">
        <v>262</v>
      </c>
      <c r="AG7" t="inlineStr">
        <is>
          <t>nm</t>
        </is>
      </c>
      <c r="AH7" t="n">
        <v>2.26</v>
      </c>
      <c r="AS7" t="n">
        <v>2.4</v>
      </c>
      <c r="AT7" t="inlineStr">
        <is>
          <t>L/(m²·h·bar)</t>
        </is>
      </c>
      <c r="AU7" t="n">
        <v>99</v>
      </c>
      <c r="AV7" t="inlineStr">
        <is>
          <t>%</t>
        </is>
      </c>
      <c r="AW7" s="2">
        <f>IFERROR(TEXTJOIN("; ",TRUE,FILTER('concentration_review'!$AA$2:$AA$84,('concentration_review'!$A$2:$A$84=$A7)*('concentration_review'!$G$2:$G$84="测试NaCl浓度"))),"")</f>
        <v/>
      </c>
      <c r="AX7" s="2">
        <f>IFERROR(TEXTJOIN("; ",TRUE,FILTER('concentration_review'!$AB$2:$AB$84,('concentration_review'!$A$2:$A$84=$A7)*('concentration_review'!$G$2:$G$84="测试NaCl浓度_单位"))),"")</f>
        <v/>
      </c>
      <c r="BA7" t="n">
        <v>50</v>
      </c>
      <c r="BB7" t="inlineStr">
        <is>
          <t>bar</t>
        </is>
      </c>
      <c r="BC7" t="inlineStr">
        <is>
          <t>Cross-flow</t>
        </is>
      </c>
      <c r="BD7" t="inlineStr">
        <is>
          <t>10.1021_acs.est.1c08857.pdf</t>
        </is>
      </c>
      <c r="BE7" t="n">
        <v>2022</v>
      </c>
      <c r="BF7" t="inlineStr">
        <is>
          <t>10.1021/acs.est.1c08857</t>
        </is>
      </c>
      <c r="BG7" t="inlineStr">
        <is>
          <t>NaCl</t>
        </is>
      </c>
      <c r="BH7" t="inlineStr">
        <is>
          <t>NaCl</t>
        </is>
      </c>
      <c r="BI7" t="n">
        <v>0.048</v>
      </c>
      <c r="BJ7" t="inlineStr">
        <is>
          <t>L/(m²·h·bar)</t>
        </is>
      </c>
      <c r="BK7" t="inlineStr">
        <is>
          <t>渗透系数(Permeance)</t>
        </is>
      </c>
      <c r="BL7" t="n">
        <v>60</v>
      </c>
      <c r="BM7" t="inlineStr">
        <is>
          <t>Proteoliposome-Incorporated Seawater Reverse Osmosis Polyamide Membrane: Is the Aquaporin Water Channel Effect in Improving Membrane Performance Overestimated?</t>
        </is>
      </c>
      <c r="BN7" s="2">
        <f>IFERROR(TEXTJOIN("; ",TRUE,FILTER('concentration_review'!$AC$2:$AC$84,('concentration_review'!$A$2:$A$84=$A7)*('concentration_review'!$C$2:$C$84="aqueous_monomer"))),"")</f>
        <v/>
      </c>
      <c r="BO7" s="2">
        <f>IFERROR(TEXTJOIN("; ",TRUE,FILTER('concentration_review'!$AC$2:$AC$84,('concentration_review'!$A$2:$A$84=$A7)*('concentration_review'!$C$2:$C$84="organic_monomer"))),"")</f>
        <v/>
      </c>
      <c r="BP7" s="2">
        <f>IFERROR(TEXTJOIN("; ",TRUE,FILTER('concentration_review'!$AC$2:$AC$84,('concentration_review'!$A$2:$A$84=$A7)*('concentration_review'!$C$2:$C$84="additive"))),"")</f>
        <v/>
      </c>
      <c r="BQ7" s="2">
        <f>IFERROR(TEXTJOIN("; ",TRUE,FILTER('concentration_review'!$AC$2:$AC$84,('concentration_review'!$A$2:$A$84=$A7)*('concentration_review'!$C$2:$C$84="modifier"))),"")</f>
        <v/>
      </c>
      <c r="BR7" s="2">
        <f>IFERROR(TEXTJOIN("; ",TRUE,FILTER('concentration_review'!$AC$2:$AC$84,('concentration_review'!$A$2:$A$84=$A7)*('concentration_review'!$C$2:$C$84="test_nacl"))),"")</f>
        <v/>
      </c>
      <c r="BS7">
        <f>SUMPRODUCT((--('concentration_review'!$A$2:$A$84=$A7))*('concentration_review'!$AE$2:$AE$84&gt;0))</f>
        <v/>
      </c>
      <c r="BT7">
        <f>IF(=SUMPRODUCT((--('concentration_review'!$A$2:$A$84=$A7))*('concentration_review'!$AE$2:$AE$84&gt;0))&gt;0,1,0)</f>
        <v/>
      </c>
    </row>
    <row r="8">
      <c r="A8" t="n">
        <v>6</v>
      </c>
      <c r="B8" t="inlineStr">
        <is>
          <t>RO</t>
        </is>
      </c>
      <c r="C8" t="inlineStr">
        <is>
          <t>TFC-toluene</t>
        </is>
      </c>
      <c r="D8" t="inlineStr">
        <is>
          <t>Polyamide</t>
        </is>
      </c>
      <c r="E8" t="inlineStr">
        <is>
          <t>Interfacial polymerization (IP)</t>
        </is>
      </c>
      <c r="F8" s="2">
        <f>IFERROR(TEXTJOIN("; ",TRUE,FILTER('concentration_review'!$Z$2:$Z$84,('concentration_review'!$A$2:$A$84=$A8)*('concentration_review'!$F$2:$F$84="水相单体"))),"")</f>
        <v/>
      </c>
      <c r="G8" s="2">
        <f>IFERROR(TEXTJOIN("; ",TRUE,FILTER('concentration_review'!$AA$2:$AA$84,('concentration_review'!$A$2:$A$84=$A8)*('concentration_review'!$G$2:$G$84="水相单体浓度"))),"")</f>
        <v/>
      </c>
      <c r="H8" s="2">
        <f>IFERROR(TEXTJOIN("; ",TRUE,FILTER('concentration_review'!$AB$2:$AB$84,('concentration_review'!$A$2:$A$84=$A8)*('concentration_review'!$G$2:$G$84="水相单体浓度_单位"))),"")</f>
        <v/>
      </c>
      <c r="I8" s="2">
        <f>IFERROR(TEXTJOIN("; ",TRUE,FILTER('concentration_review'!$Z$2:$Z$84,('concentration_review'!$A$2:$A$84=$A8)*('concentration_review'!$F$2:$F$84="油相单体"))),"")</f>
        <v/>
      </c>
      <c r="J8" s="2">
        <f>IFERROR(TEXTJOIN("; ",TRUE,FILTER('concentration_review'!$AA$2:$AA$84,('concentration_review'!$A$2:$A$84=$A8)*('concentration_review'!$G$2:$G$84="油相单体浓度"))),"")</f>
        <v/>
      </c>
      <c r="K8" s="2">
        <f>IFERROR(TEXTJOIN("; ",TRUE,FILTER('concentration_review'!$AB$2:$AB$84,('concentration_review'!$A$2:$A$84=$A8)*('concentration_review'!$G$2:$G$84="油相单体浓度_单位"))),"")</f>
        <v/>
      </c>
      <c r="L8" t="inlineStr">
        <is>
          <t>n-hexane</t>
        </is>
      </c>
      <c r="M8" t="inlineStr">
        <is>
          <t>PSf</t>
        </is>
      </c>
      <c r="P8" s="2">
        <f>IFERROR(TEXTJOIN("; ",TRUE,FILTER('concentration_review'!$Z$2:$Z$84,('concentration_review'!$A$2:$A$84=$A8)*('concentration_review'!$F$2:$F$84="添加剂"))),"")</f>
        <v/>
      </c>
      <c r="Q8" s="2">
        <f>IFERROR(TEXTJOIN("; ",TRUE,FILTER('concentration_review'!$AA$2:$AA$84,('concentration_review'!$A$2:$A$84=$A8)*('concentration_review'!$G$2:$G$84="添加剂浓度"))),"")</f>
        <v/>
      </c>
      <c r="R8" s="2">
        <f>IFERROR(TEXTJOIN("; ",TRUE,FILTER('concentration_review'!$AB$2:$AB$84,('concentration_review'!$A$2:$A$84=$A8)*('concentration_review'!$G$2:$G$84="添加剂浓度_单位"))),"")</f>
        <v/>
      </c>
      <c r="S8" t="n">
        <v>1</v>
      </c>
      <c r="T8" t="inlineStr">
        <is>
          <t>min</t>
        </is>
      </c>
      <c r="U8" t="inlineStr">
        <is>
          <t>~25</t>
        </is>
      </c>
      <c r="V8" t="inlineStr">
        <is>
          <t>°C</t>
        </is>
      </c>
      <c r="W8" t="n">
        <v>50</v>
      </c>
      <c r="X8" t="inlineStr">
        <is>
          <t>°C</t>
        </is>
      </c>
      <c r="Y8" t="n">
        <v>10</v>
      </c>
      <c r="Z8" t="inlineStr">
        <is>
          <t>min</t>
        </is>
      </c>
      <c r="AA8" s="2">
        <f>IFERROR(TEXTJOIN("; ",TRUE,FILTER('concentration_review'!$Z$2:$Z$84,('concentration_review'!$A$2:$A$84=$A8)*('concentration_review'!$F$2:$F$84="改性剂"))),"")</f>
        <v/>
      </c>
      <c r="AB8" s="2">
        <f>IFERROR(TEXTJOIN("; ",TRUE,FILTER('concentration_review'!$AA$2:$AA$84,('concentration_review'!$A$2:$A$84=$A8)*('concentration_review'!$G$2:$G$84="改性剂浓度"))),"")</f>
        <v/>
      </c>
      <c r="AC8" s="2">
        <f>IFERROR(TEXTJOIN("; ",TRUE,FILTER('concentration_review'!$AB$2:$AB$84,('concentration_review'!$A$2:$A$84=$A8)*('concentration_review'!$G$2:$G$84="改性剂浓度_单位"))),"")</f>
        <v/>
      </c>
      <c r="AF8" t="n">
        <v>248</v>
      </c>
      <c r="AG8" t="inlineStr">
        <is>
          <t>nm</t>
        </is>
      </c>
      <c r="AH8" t="n">
        <v>61.5</v>
      </c>
      <c r="AI8" t="inlineStr">
        <is>
          <t>nm</t>
        </is>
      </c>
      <c r="AL8" t="n">
        <v>0.06</v>
      </c>
      <c r="AM8" t="inlineStr">
        <is>
          <t>Void fraction</t>
        </is>
      </c>
      <c r="AO8" t="n">
        <v>-32.3</v>
      </c>
      <c r="AP8" t="inlineStr">
        <is>
          <t>mV</t>
        </is>
      </c>
      <c r="AQ8" t="n">
        <v>72.40000000000001</v>
      </c>
      <c r="AR8" t="inlineStr">
        <is>
          <t>°</t>
        </is>
      </c>
      <c r="AS8" t="n">
        <v>1.89</v>
      </c>
      <c r="AT8" t="inlineStr">
        <is>
          <t>L/(m²·h·bar)</t>
        </is>
      </c>
      <c r="AU8" t="n">
        <v>99.3</v>
      </c>
      <c r="AV8" t="inlineStr">
        <is>
          <t>%</t>
        </is>
      </c>
      <c r="AW8" s="2">
        <f>IFERROR(TEXTJOIN("; ",TRUE,FILTER('concentration_review'!$AA$2:$AA$84,('concentration_review'!$A$2:$A$84=$A8)*('concentration_review'!$G$2:$G$84="测试NaCl浓度"))),"")</f>
        <v/>
      </c>
      <c r="AX8" s="2">
        <f>IFERROR(TEXTJOIN("; ",TRUE,FILTER('concentration_review'!$AB$2:$AB$84,('concentration_review'!$A$2:$A$84=$A8)*('concentration_review'!$G$2:$G$84="测试NaCl浓度_单位"))),"")</f>
        <v/>
      </c>
      <c r="BA8" t="n">
        <v>15.5</v>
      </c>
      <c r="BB8" t="inlineStr">
        <is>
          <t>bar</t>
        </is>
      </c>
      <c r="BC8" t="inlineStr">
        <is>
          <t>Cross-flow</t>
        </is>
      </c>
      <c r="BD8" t="inlineStr">
        <is>
          <t>10.1021_acs.est.2c01140.pdf</t>
        </is>
      </c>
      <c r="BE8" t="n">
        <v>2022</v>
      </c>
      <c r="BF8" t="inlineStr">
        <is>
          <t>10.1021/acs.est.2c01140</t>
        </is>
      </c>
      <c r="BG8" t="inlineStr">
        <is>
          <t>NaCl</t>
        </is>
      </c>
      <c r="BH8" t="inlineStr">
        <is>
          <t>NaCl</t>
        </is>
      </c>
      <c r="BI8" t="n">
        <v>0.1219</v>
      </c>
      <c r="BJ8" t="inlineStr">
        <is>
          <t>L/(m²·h·bar)</t>
        </is>
      </c>
      <c r="BK8" t="inlineStr">
        <is>
          <t>渗透系数(Permeance)</t>
        </is>
      </c>
      <c r="BL8" t="n">
        <v>60</v>
      </c>
      <c r="BM8" t="inlineStr">
        <is>
          <t>Cosolvent-Assisted Interfacial Polymerization toward Regulating the Morphology and Performance of Polyamide Reverse Osmosis Membranes: Increased m-Phenylenediamine Solubility or Enhanced Interfacial Vaporization?</t>
        </is>
      </c>
      <c r="BN8" s="2">
        <f>IFERROR(TEXTJOIN("; ",TRUE,FILTER('concentration_review'!$AC$2:$AC$84,('concentration_review'!$A$2:$A$84=$A8)*('concentration_review'!$C$2:$C$84="aqueous_monomer"))),"")</f>
        <v/>
      </c>
      <c r="BO8" s="2">
        <f>IFERROR(TEXTJOIN("; ",TRUE,FILTER('concentration_review'!$AC$2:$AC$84,('concentration_review'!$A$2:$A$84=$A8)*('concentration_review'!$C$2:$C$84="organic_monomer"))),"")</f>
        <v/>
      </c>
      <c r="BP8" s="2">
        <f>IFERROR(TEXTJOIN("; ",TRUE,FILTER('concentration_review'!$AC$2:$AC$84,('concentration_review'!$A$2:$A$84=$A8)*('concentration_review'!$C$2:$C$84="additive"))),"")</f>
        <v/>
      </c>
      <c r="BQ8" s="2">
        <f>IFERROR(TEXTJOIN("; ",TRUE,FILTER('concentration_review'!$AC$2:$AC$84,('concentration_review'!$A$2:$A$84=$A8)*('concentration_review'!$C$2:$C$84="modifier"))),"")</f>
        <v/>
      </c>
      <c r="BR8" s="2">
        <f>IFERROR(TEXTJOIN("; ",TRUE,FILTER('concentration_review'!$AC$2:$AC$84,('concentration_review'!$A$2:$A$84=$A8)*('concentration_review'!$C$2:$C$84="test_nacl"))),"")</f>
        <v/>
      </c>
      <c r="BS8">
        <f>SUMPRODUCT((--('concentration_review'!$A$2:$A$84=$A8))*('concentration_review'!$AE$2:$AE$84&gt;0))</f>
        <v/>
      </c>
      <c r="BT8">
        <f>IF(=SUMPRODUCT((--('concentration_review'!$A$2:$A$84=$A8))*('concentration_review'!$AE$2:$AE$84&gt;0))&gt;0,1,0)</f>
        <v/>
      </c>
    </row>
    <row r="9">
      <c r="A9" t="n">
        <v>7</v>
      </c>
      <c r="B9" t="inlineStr">
        <is>
          <t>NF; RO</t>
        </is>
      </c>
      <c r="C9" t="inlineStr">
        <is>
          <t>PVA-PVS-Stirred-NaCl-10mM-5bar</t>
        </is>
      </c>
      <c r="D9" t="inlineStr">
        <is>
          <t>Polyelectrolyte (PVA/PVS)</t>
        </is>
      </c>
      <c r="E9" t="inlineStr">
        <is>
          <t>Layer-by-Layer Assembly</t>
        </is>
      </c>
      <c r="F9" s="2">
        <f>IFERROR(TEXTJOIN("; ",TRUE,FILTER('concentration_review'!$Z$2:$Z$84,('concentration_review'!$A$2:$A$84=$A9)*('concentration_review'!$F$2:$F$84="水相单体"))),"")</f>
        <v/>
      </c>
      <c r="G9" s="2">
        <f>IFERROR(TEXTJOIN("; ",TRUE,FILTER('concentration_review'!$AA$2:$AA$84,('concentration_review'!$A$2:$A$84=$A9)*('concentration_review'!$G$2:$G$84="水相单体浓度"))),"")</f>
        <v/>
      </c>
      <c r="H9" s="2">
        <f>IFERROR(TEXTJOIN("; ",TRUE,FILTER('concentration_review'!$AB$2:$AB$84,('concentration_review'!$A$2:$A$84=$A9)*('concentration_review'!$G$2:$G$84="水相单体浓度_单位"))),"")</f>
        <v/>
      </c>
      <c r="I9" s="2">
        <f>IFERROR(TEXTJOIN("; ",TRUE,FILTER('concentration_review'!$Z$2:$Z$84,('concentration_review'!$A$2:$A$84=$A9)*('concentration_review'!$F$2:$F$84="油相单体"))),"")</f>
        <v/>
      </c>
      <c r="J9" s="2">
        <f>IFERROR(TEXTJOIN("; ",TRUE,FILTER('concentration_review'!$AA$2:$AA$84,('concentration_review'!$A$2:$A$84=$A9)*('concentration_review'!$G$2:$G$84="油相单体浓度"))),"")</f>
        <v/>
      </c>
      <c r="K9" s="2">
        <f>IFERROR(TEXTJOIN("; ",TRUE,FILTER('concentration_review'!$AB$2:$AB$84,('concentration_review'!$A$2:$A$84=$A9)*('concentration_review'!$G$2:$G$84="油相单体浓度_单位"))),"")</f>
        <v/>
      </c>
      <c r="M9" t="inlineStr">
        <is>
          <t>PAN/PET</t>
        </is>
      </c>
      <c r="N9" t="n">
        <v>1.7</v>
      </c>
      <c r="P9" s="2">
        <f>IFERROR(TEXTJOIN("; ",TRUE,FILTER('concentration_review'!$Z$2:$Z$84,('concentration_review'!$A$2:$A$84=$A9)*('concentration_review'!$F$2:$F$84="添加剂"))),"")</f>
        <v/>
      </c>
      <c r="Q9" s="2">
        <f>IFERROR(TEXTJOIN("; ",TRUE,FILTER('concentration_review'!$AA$2:$AA$84,('concentration_review'!$A$2:$A$84=$A9)*('concentration_review'!$G$2:$G$84="添加剂浓度"))),"")</f>
        <v/>
      </c>
      <c r="R9" s="2">
        <f>IFERROR(TEXTJOIN("; ",TRUE,FILTER('concentration_review'!$AB$2:$AB$84,('concentration_review'!$A$2:$A$84=$A9)*('concentration_review'!$G$2:$G$84="添加剂浓度_单位"))),"")</f>
        <v/>
      </c>
      <c r="S9" t="inlineStr">
        <is>
          <t>'20-30</t>
        </is>
      </c>
      <c r="T9" t="inlineStr">
        <is>
          <t>min/layer</t>
        </is>
      </c>
      <c r="U9" t="n">
        <v>20</v>
      </c>
      <c r="V9" t="inlineStr">
        <is>
          <t>°C</t>
        </is>
      </c>
      <c r="AA9" s="2">
        <f>IFERROR(TEXTJOIN("; ",TRUE,FILTER('concentration_review'!$Z$2:$Z$84,('concentration_review'!$A$2:$A$84=$A9)*('concentration_review'!$F$2:$F$84="改性剂"))),"")</f>
        <v/>
      </c>
      <c r="AB9" s="2">
        <f>IFERROR(TEXTJOIN("; ",TRUE,FILTER('concentration_review'!$AA$2:$AA$84,('concentration_review'!$A$2:$A$84=$A9)*('concentration_review'!$G$2:$G$84="改性剂浓度"))),"")</f>
        <v/>
      </c>
      <c r="AC9" s="2">
        <f>IFERROR(TEXTJOIN("; ",TRUE,FILTER('concentration_review'!$AB$2:$AB$84,('concentration_review'!$A$2:$A$84=$A9)*('concentration_review'!$G$2:$G$84="改性剂浓度_单位"))),"")</f>
        <v/>
      </c>
      <c r="AF9" t="inlineStr">
        <is>
          <t>60 bilayers</t>
        </is>
      </c>
      <c r="AS9" t="n">
        <v>0.55</v>
      </c>
      <c r="AT9" t="inlineStr">
        <is>
          <t>L/(m²·h)</t>
        </is>
      </c>
      <c r="AU9" t="n">
        <v>84</v>
      </c>
      <c r="AW9" s="2">
        <f>IFERROR(TEXTJOIN("; ",TRUE,FILTER('concentration_review'!$AA$2:$AA$84,('concentration_review'!$A$2:$A$84=$A9)*('concentration_review'!$G$2:$G$84="测试NaCl浓度"))),"")</f>
        <v/>
      </c>
      <c r="AX9" s="2">
        <f>IFERROR(TEXTJOIN("; ",TRUE,FILTER('concentration_review'!$AB$2:$AB$84,('concentration_review'!$A$2:$A$84=$A9)*('concentration_review'!$G$2:$G$84="测试NaCl浓度_单位"))),"")</f>
        <v/>
      </c>
      <c r="BA9" t="n">
        <v>5</v>
      </c>
      <c r="BB9" t="inlineStr">
        <is>
          <t>bar</t>
        </is>
      </c>
      <c r="BC9" t="inlineStr">
        <is>
          <t>Stirred</t>
        </is>
      </c>
      <c r="BD9" t="inlineStr">
        <is>
          <t>jin2003.pdf</t>
        </is>
      </c>
      <c r="BE9" t="n">
        <v>2003</v>
      </c>
      <c r="BF9" t="inlineStr">
        <is>
          <t>10.1021/la020926f</t>
        </is>
      </c>
      <c r="BG9" t="inlineStr">
        <is>
          <t>NaCl</t>
        </is>
      </c>
      <c r="BH9" t="inlineStr">
        <is>
          <t>NaCl</t>
        </is>
      </c>
      <c r="BI9" t="n">
        <v>0.11</v>
      </c>
      <c r="BJ9" t="inlineStr">
        <is>
          <t>L/(m²·h·bar)</t>
        </is>
      </c>
      <c r="BK9" t="inlineStr">
        <is>
          <t>渗透系数(Permeance)</t>
        </is>
      </c>
      <c r="BM9" t="inlineStr">
        <is>
          <t>Use of Polyelectrolyte Layer-by-Layer Assemblies as Nanofiltration and Reverse Osmosis Membranes</t>
        </is>
      </c>
      <c r="BN9" s="2">
        <f>IFERROR(TEXTJOIN("; ",TRUE,FILTER('concentration_review'!$AC$2:$AC$84,('concentration_review'!$A$2:$A$84=$A9)*('concentration_review'!$C$2:$C$84="aqueous_monomer"))),"")</f>
        <v/>
      </c>
      <c r="BO9" s="2">
        <f>IFERROR(TEXTJOIN("; ",TRUE,FILTER('concentration_review'!$AC$2:$AC$84,('concentration_review'!$A$2:$A$84=$A9)*('concentration_review'!$C$2:$C$84="organic_monomer"))),"")</f>
        <v/>
      </c>
      <c r="BP9" s="2">
        <f>IFERROR(TEXTJOIN("; ",TRUE,FILTER('concentration_review'!$AC$2:$AC$84,('concentration_review'!$A$2:$A$84=$A9)*('concentration_review'!$C$2:$C$84="additive"))),"")</f>
        <v/>
      </c>
      <c r="BQ9" s="2">
        <f>IFERROR(TEXTJOIN("; ",TRUE,FILTER('concentration_review'!$AC$2:$AC$84,('concentration_review'!$A$2:$A$84=$A9)*('concentration_review'!$C$2:$C$84="modifier"))),"")</f>
        <v/>
      </c>
      <c r="BR9" s="2">
        <f>IFERROR(TEXTJOIN("; ",TRUE,FILTER('concentration_review'!$AC$2:$AC$84,('concentration_review'!$A$2:$A$84=$A9)*('concentration_review'!$C$2:$C$84="test_nacl"))),"")</f>
        <v/>
      </c>
      <c r="BS9">
        <f>SUMPRODUCT((--('concentration_review'!$A$2:$A$84=$A9))*('concentration_review'!$AE$2:$AE$84&gt;0))</f>
        <v/>
      </c>
      <c r="BT9">
        <f>IF(=SUMPRODUCT((--('concentration_review'!$A$2:$A$84=$A9))*('concentration_review'!$AE$2:$AE$84&gt;0))&gt;0,1,0)</f>
        <v/>
      </c>
    </row>
    <row r="10">
      <c r="A10" t="n">
        <v>8</v>
      </c>
      <c r="B10" t="inlineStr">
        <is>
          <t>RO</t>
        </is>
      </c>
      <c r="C10" t="inlineStr">
        <is>
          <t>Lysozyme-immobilized Polyamide RO membrane</t>
        </is>
      </c>
      <c r="D10" t="inlineStr">
        <is>
          <t>Polyamide</t>
        </is>
      </c>
      <c r="E10" t="inlineStr">
        <is>
          <t>Interfacial polymerization; Surface modification; Enzyme immobilization</t>
        </is>
      </c>
      <c r="F10" s="2">
        <f>IFERROR(TEXTJOIN("; ",TRUE,FILTER('concentration_review'!$Z$2:$Z$84,('concentration_review'!$A$2:$A$84=$A10)*('concentration_review'!$F$2:$F$84="水相单体"))),"")</f>
        <v/>
      </c>
      <c r="G10" s="2">
        <f>IFERROR(TEXTJOIN("; ",TRUE,FILTER('concentration_review'!$AA$2:$AA$84,('concentration_review'!$A$2:$A$84=$A10)*('concentration_review'!$G$2:$G$84="水相单体浓度"))),"")</f>
        <v/>
      </c>
      <c r="H10" s="2">
        <f>IFERROR(TEXTJOIN("; ",TRUE,FILTER('concentration_review'!$AB$2:$AB$84,('concentration_review'!$A$2:$A$84=$A10)*('concentration_review'!$G$2:$G$84="水相单体浓度_单位"))),"")</f>
        <v/>
      </c>
      <c r="I10" s="2">
        <f>IFERROR(TEXTJOIN("; ",TRUE,FILTER('concentration_review'!$Z$2:$Z$84,('concentration_review'!$A$2:$A$84=$A10)*('concentration_review'!$F$2:$F$84="油相单体"))),"")</f>
        <v/>
      </c>
      <c r="J10" s="2">
        <f>IFERROR(TEXTJOIN("; ",TRUE,FILTER('concentration_review'!$AA$2:$AA$84,('concentration_review'!$A$2:$A$84=$A10)*('concentration_review'!$G$2:$G$84="油相单体浓度"))),"")</f>
        <v/>
      </c>
      <c r="K10" s="2">
        <f>IFERROR(TEXTJOIN("; ",TRUE,FILTER('concentration_review'!$AB$2:$AB$84,('concentration_review'!$A$2:$A$84=$A10)*('concentration_review'!$G$2:$G$84="油相单体浓度_单位"))),"")</f>
        <v/>
      </c>
      <c r="L10" t="inlineStr">
        <is>
          <t>n-hexane</t>
        </is>
      </c>
      <c r="M10" t="inlineStr">
        <is>
          <t>Polysulfone</t>
        </is>
      </c>
      <c r="N10" t="n">
        <v>8</v>
      </c>
      <c r="P10" s="2">
        <f>IFERROR(TEXTJOIN("; ",TRUE,FILTER('concentration_review'!$Z$2:$Z$84,('concentration_review'!$A$2:$A$84=$A10)*('concentration_review'!$F$2:$F$84="添加剂"))),"")</f>
        <v/>
      </c>
      <c r="Q10" s="2">
        <f>IFERROR(TEXTJOIN("; ",TRUE,FILTER('concentration_review'!$AA$2:$AA$84,('concentration_review'!$A$2:$A$84=$A10)*('concentration_review'!$G$2:$G$84="添加剂浓度"))),"")</f>
        <v/>
      </c>
      <c r="R10" s="2">
        <f>IFERROR(TEXTJOIN("; ",TRUE,FILTER('concentration_review'!$AB$2:$AB$84,('concentration_review'!$A$2:$A$84=$A10)*('concentration_review'!$G$2:$G$84="添加剂浓度_单位"))),"")</f>
        <v/>
      </c>
      <c r="S10" t="n">
        <v>1</v>
      </c>
      <c r="T10" t="inlineStr">
        <is>
          <t>min</t>
        </is>
      </c>
      <c r="U10" t="n">
        <v>4</v>
      </c>
      <c r="V10" t="inlineStr">
        <is>
          <t>℃</t>
        </is>
      </c>
      <c r="W10" t="n">
        <v>80</v>
      </c>
      <c r="X10" t="inlineStr">
        <is>
          <t>℃</t>
        </is>
      </c>
      <c r="Y10" t="n">
        <v>5</v>
      </c>
      <c r="Z10" t="inlineStr">
        <is>
          <t>min</t>
        </is>
      </c>
      <c r="AA10" s="2">
        <f>IFERROR(TEXTJOIN("; ",TRUE,FILTER('concentration_review'!$Z$2:$Z$84,('concentration_review'!$A$2:$A$84=$A10)*('concentration_review'!$F$2:$F$84="改性剂"))),"")</f>
        <v/>
      </c>
      <c r="AB10" s="2">
        <f>IFERROR(TEXTJOIN("; ",TRUE,FILTER('concentration_review'!$AA$2:$AA$84,('concentration_review'!$A$2:$A$84=$A10)*('concentration_review'!$G$2:$G$84="改性剂浓度"))),"")</f>
        <v/>
      </c>
      <c r="AC10" s="2">
        <f>IFERROR(TEXTJOIN("; ",TRUE,FILTER('concentration_review'!$AB$2:$AB$84,('concentration_review'!$A$2:$A$84=$A10)*('concentration_review'!$G$2:$G$84="改性剂浓度_单位"))),"")</f>
        <v/>
      </c>
      <c r="AD10" t="inlineStr">
        <is>
          <t>5; 30; 24</t>
        </is>
      </c>
      <c r="AE10" t="inlineStr">
        <is>
          <t>min; min; h</t>
        </is>
      </c>
      <c r="AO10" t="n">
        <v>7.5</v>
      </c>
      <c r="AP10" t="inlineStr">
        <is>
          <t>mV</t>
        </is>
      </c>
      <c r="AQ10" t="n">
        <v>31.3</v>
      </c>
      <c r="AR10" t="inlineStr">
        <is>
          <t>°</t>
        </is>
      </c>
      <c r="AS10" t="n">
        <v>0.4</v>
      </c>
      <c r="AT10" t="inlineStr">
        <is>
          <t>m³/(m² day)</t>
        </is>
      </c>
      <c r="AU10" t="n">
        <v>92</v>
      </c>
      <c r="AV10" t="inlineStr">
        <is>
          <t>%</t>
        </is>
      </c>
      <c r="AW10" s="2">
        <f>IFERROR(TEXTJOIN("; ",TRUE,FILTER('concentration_review'!$AA$2:$AA$84,('concentration_review'!$A$2:$A$84=$A10)*('concentration_review'!$G$2:$G$84="测试NaCl浓度"))),"")</f>
        <v/>
      </c>
      <c r="AX10" s="2">
        <f>IFERROR(TEXTJOIN("; ",TRUE,FILTER('concentration_review'!$AB$2:$AB$84,('concentration_review'!$A$2:$A$84=$A10)*('concentration_review'!$G$2:$G$84="测试NaCl浓度_单位"))),"")</f>
        <v/>
      </c>
      <c r="AY10" t="n">
        <v>30</v>
      </c>
      <c r="AZ10" t="inlineStr">
        <is>
          <t>%</t>
        </is>
      </c>
      <c r="BA10" t="n">
        <v>0.75</v>
      </c>
      <c r="BB10" t="inlineStr">
        <is>
          <t>MPa</t>
        </is>
      </c>
      <c r="BC10" t="inlineStr">
        <is>
          <t>Cross-flow</t>
        </is>
      </c>
      <c r="BD10" t="inlineStr">
        <is>
          <t>Saeki et al_2013_Development of antibacterial polyamide reverse osmosis membrane modified with a.pdf</t>
        </is>
      </c>
      <c r="BE10" t="n">
        <v>2013</v>
      </c>
      <c r="BF10" t="inlineStr">
        <is>
          <t>10.1016/j.memsci.2012.10.038</t>
        </is>
      </c>
      <c r="BG10" t="inlineStr">
        <is>
          <t>NaCl</t>
        </is>
      </c>
      <c r="BH10" t="inlineStr">
        <is>
          <t>NaCl</t>
        </is>
      </c>
      <c r="BI10" t="n">
        <v>0.0533</v>
      </c>
      <c r="BJ10" t="inlineStr">
        <is>
          <t>L/(m²·h·bar)</t>
        </is>
      </c>
      <c r="BK10" t="inlineStr">
        <is>
          <t>渗透系数(Permeance)</t>
        </is>
      </c>
      <c r="BL10" t="n">
        <v>60</v>
      </c>
      <c r="BM10" t="inlineStr">
        <is>
          <t>Development of antibacterial polyamide reverse osmosis membrane modified with a covalently immobilized enzyme</t>
        </is>
      </c>
      <c r="BN10" s="2">
        <f>IFERROR(TEXTJOIN("; ",TRUE,FILTER('concentration_review'!$AC$2:$AC$84,('concentration_review'!$A$2:$A$84=$A10)*('concentration_review'!$C$2:$C$84="aqueous_monomer"))),"")</f>
        <v/>
      </c>
      <c r="BO10" s="2">
        <f>IFERROR(TEXTJOIN("; ",TRUE,FILTER('concentration_review'!$AC$2:$AC$84,('concentration_review'!$A$2:$A$84=$A10)*('concentration_review'!$C$2:$C$84="organic_monomer"))),"")</f>
        <v/>
      </c>
      <c r="BP10" s="2">
        <f>IFERROR(TEXTJOIN("; ",TRUE,FILTER('concentration_review'!$AC$2:$AC$84,('concentration_review'!$A$2:$A$84=$A10)*('concentration_review'!$C$2:$C$84="additive"))),"")</f>
        <v/>
      </c>
      <c r="BQ10" s="2">
        <f>IFERROR(TEXTJOIN("; ",TRUE,FILTER('concentration_review'!$AC$2:$AC$84,('concentration_review'!$A$2:$A$84=$A10)*('concentration_review'!$C$2:$C$84="modifier"))),"")</f>
        <v/>
      </c>
      <c r="BR10" s="2">
        <f>IFERROR(TEXTJOIN("; ",TRUE,FILTER('concentration_review'!$AC$2:$AC$84,('concentration_review'!$A$2:$A$84=$A10)*('concentration_review'!$C$2:$C$84="test_nacl"))),"")</f>
        <v/>
      </c>
      <c r="BS10">
        <f>SUMPRODUCT((--('concentration_review'!$A$2:$A$84=$A10))*('concentration_review'!$AE$2:$AE$84&gt;0))</f>
        <v/>
      </c>
      <c r="BT10">
        <f>IF(=SUMPRODUCT((--('concentration_review'!$A$2:$A$84=$A10))*('concentration_review'!$AE$2:$AE$84&gt;0))&gt;0,1,0)</f>
        <v/>
      </c>
    </row>
    <row r="11">
      <c r="A11" t="n">
        <v>9</v>
      </c>
      <c r="B11" t="inlineStr">
        <is>
          <t>RO</t>
        </is>
      </c>
      <c r="C11" t="inlineStr">
        <is>
          <t>15CC3@RO</t>
        </is>
      </c>
      <c r="D11" t="inlineStr">
        <is>
          <t>Polyamide</t>
        </is>
      </c>
      <c r="E11" t="inlineStr">
        <is>
          <t>Interfacial polymerization (IP)</t>
        </is>
      </c>
      <c r="F11" s="2">
        <f>IFERROR(TEXTJOIN("; ",TRUE,FILTER('concentration_review'!$Z$2:$Z$84,('concentration_review'!$A$2:$A$84=$A11)*('concentration_review'!$F$2:$F$84="水相单体"))),"")</f>
        <v/>
      </c>
      <c r="G11" s="2">
        <f>IFERROR(TEXTJOIN("; ",TRUE,FILTER('concentration_review'!$AA$2:$AA$84,('concentration_review'!$A$2:$A$84=$A11)*('concentration_review'!$G$2:$G$84="水相单体浓度"))),"")</f>
        <v/>
      </c>
      <c r="H11" s="2">
        <f>IFERROR(TEXTJOIN("; ",TRUE,FILTER('concentration_review'!$AB$2:$AB$84,('concentration_review'!$A$2:$A$84=$A11)*('concentration_review'!$G$2:$G$84="水相单体浓度_单位"))),"")</f>
        <v/>
      </c>
      <c r="I11" s="2">
        <f>IFERROR(TEXTJOIN("; ",TRUE,FILTER('concentration_review'!$Z$2:$Z$84,('concentration_review'!$A$2:$A$84=$A11)*('concentration_review'!$F$2:$F$84="油相单体"))),"")</f>
        <v/>
      </c>
      <c r="J11" s="2">
        <f>IFERROR(TEXTJOIN("; ",TRUE,FILTER('concentration_review'!$AA$2:$AA$84,('concentration_review'!$A$2:$A$84=$A11)*('concentration_review'!$G$2:$G$84="油相单体浓度"))),"")</f>
        <v/>
      </c>
      <c r="K11" s="2">
        <f>IFERROR(TEXTJOIN("; ",TRUE,FILTER('concentration_review'!$AB$2:$AB$84,('concentration_review'!$A$2:$A$84=$A11)*('concentration_review'!$G$2:$G$84="油相单体浓度_单位"))),"")</f>
        <v/>
      </c>
      <c r="L11" t="inlineStr">
        <is>
          <t>n-Heptane;Dichloromethane</t>
        </is>
      </c>
      <c r="M11" t="inlineStr">
        <is>
          <t>Polysulfone</t>
        </is>
      </c>
      <c r="P11" s="2">
        <f>IFERROR(TEXTJOIN("; ",TRUE,FILTER('concentration_review'!$Z$2:$Z$84,('concentration_review'!$A$2:$A$84=$A11)*('concentration_review'!$F$2:$F$84="添加剂"))),"")</f>
        <v/>
      </c>
      <c r="Q11" s="2">
        <f>IFERROR(TEXTJOIN("; ",TRUE,FILTER('concentration_review'!$AA$2:$AA$84,('concentration_review'!$A$2:$A$84=$A11)*('concentration_review'!$G$2:$G$84="添加剂浓度"))),"")</f>
        <v/>
      </c>
      <c r="R11" s="2">
        <f>IFERROR(TEXTJOIN("; ",TRUE,FILTER('concentration_review'!$AB$2:$AB$84,('concentration_review'!$A$2:$A$84=$A11)*('concentration_review'!$G$2:$G$84="添加剂浓度_单位"))),"")</f>
        <v/>
      </c>
      <c r="S11" t="n">
        <v>10</v>
      </c>
      <c r="T11" t="inlineStr">
        <is>
          <t>min</t>
        </is>
      </c>
      <c r="W11" t="n">
        <v>80</v>
      </c>
      <c r="X11" t="inlineStr">
        <is>
          <t>°C</t>
        </is>
      </c>
      <c r="Y11" t="n">
        <v>5</v>
      </c>
      <c r="Z11" t="inlineStr">
        <is>
          <t>min</t>
        </is>
      </c>
      <c r="AA11" s="2">
        <f>IFERROR(TEXTJOIN("; ",TRUE,FILTER('concentration_review'!$Z$2:$Z$84,('concentration_review'!$A$2:$A$84=$A11)*('concentration_review'!$F$2:$F$84="改性剂"))),"")</f>
        <v/>
      </c>
      <c r="AB11" s="2">
        <f>IFERROR(TEXTJOIN("; ",TRUE,FILTER('concentration_review'!$AA$2:$AA$84,('concentration_review'!$A$2:$A$84=$A11)*('concentration_review'!$G$2:$G$84="改性剂浓度"))),"")</f>
        <v/>
      </c>
      <c r="AC11" s="2">
        <f>IFERROR(TEXTJOIN("; ",TRUE,FILTER('concentration_review'!$AB$2:$AB$84,('concentration_review'!$A$2:$A$84=$A11)*('concentration_review'!$G$2:$G$84="改性剂浓度_单位"))),"")</f>
        <v/>
      </c>
      <c r="AN11" t="inlineStr">
        <is>
          <t>C=O;N-H;-N=C</t>
        </is>
      </c>
      <c r="AS11" t="n">
        <v>122.1</v>
      </c>
      <c r="AT11" t="inlineStr">
        <is>
          <t>L/(m²·h)</t>
        </is>
      </c>
      <c r="AU11" t="n">
        <v>95.97</v>
      </c>
      <c r="AV11" t="inlineStr">
        <is>
          <t>%</t>
        </is>
      </c>
      <c r="AW11" s="2">
        <f>IFERROR(TEXTJOIN("; ",TRUE,FILTER('concentration_review'!$AA$2:$AA$84,('concentration_review'!$A$2:$A$84=$A11)*('concentration_review'!$G$2:$G$84="测试NaCl浓度"))),"")</f>
        <v/>
      </c>
      <c r="AX11" s="2">
        <f>IFERROR(TEXTJOIN("; ",TRUE,FILTER('concentration_review'!$AB$2:$AB$84,('concentration_review'!$A$2:$A$84=$A11)*('concentration_review'!$G$2:$G$84="测试NaCl浓度_单位"))),"")</f>
        <v/>
      </c>
      <c r="BA11" t="n">
        <v>15.5</v>
      </c>
      <c r="BB11" t="inlineStr">
        <is>
          <t>bar</t>
        </is>
      </c>
      <c r="BC11" t="inlineStr">
        <is>
          <t>Cross-flow</t>
        </is>
      </c>
      <c r="BD11" t="inlineStr">
        <is>
          <t>Yao et al_2025_High performance reverse osmosis membrane with a separation layer consisting of.pdf</t>
        </is>
      </c>
      <c r="BE11" t="n">
        <v>2025</v>
      </c>
      <c r="BF11" t="inlineStr">
        <is>
          <t>10.1016/j.desal.2024.118190</t>
        </is>
      </c>
      <c r="BG11" t="inlineStr">
        <is>
          <t>NaCl</t>
        </is>
      </c>
      <c r="BH11" t="inlineStr">
        <is>
          <t>NaCl</t>
        </is>
      </c>
      <c r="BI11" t="n">
        <v>7.8774</v>
      </c>
      <c r="BJ11" t="inlineStr">
        <is>
          <t>L/(m²·h·bar)</t>
        </is>
      </c>
      <c r="BK11" t="inlineStr">
        <is>
          <t>渗透系数(Permeance)</t>
        </is>
      </c>
      <c r="BL11" t="n">
        <v>600</v>
      </c>
      <c r="BM11" t="inlineStr">
        <is>
          <t>High performance reverse osmosis membrane with a separation layer consisting of highly selective polyamide networks and porous organic cages</t>
        </is>
      </c>
      <c r="BN11" s="2">
        <f>IFERROR(TEXTJOIN("; ",TRUE,FILTER('concentration_review'!$AC$2:$AC$84,('concentration_review'!$A$2:$A$84=$A11)*('concentration_review'!$C$2:$C$84="aqueous_monomer"))),"")</f>
        <v/>
      </c>
      <c r="BO11" s="2">
        <f>IFERROR(TEXTJOIN("; ",TRUE,FILTER('concentration_review'!$AC$2:$AC$84,('concentration_review'!$A$2:$A$84=$A11)*('concentration_review'!$C$2:$C$84="organic_monomer"))),"")</f>
        <v/>
      </c>
      <c r="BP11" s="2">
        <f>IFERROR(TEXTJOIN("; ",TRUE,FILTER('concentration_review'!$AC$2:$AC$84,('concentration_review'!$A$2:$A$84=$A11)*('concentration_review'!$C$2:$C$84="additive"))),"")</f>
        <v/>
      </c>
      <c r="BQ11" s="2">
        <f>IFERROR(TEXTJOIN("; ",TRUE,FILTER('concentration_review'!$AC$2:$AC$84,('concentration_review'!$A$2:$A$84=$A11)*('concentration_review'!$C$2:$C$84="modifier"))),"")</f>
        <v/>
      </c>
      <c r="BR11" s="2">
        <f>IFERROR(TEXTJOIN("; ",TRUE,FILTER('concentration_review'!$AC$2:$AC$84,('concentration_review'!$A$2:$A$84=$A11)*('concentration_review'!$C$2:$C$84="test_nacl"))),"")</f>
        <v/>
      </c>
      <c r="BS11">
        <f>SUMPRODUCT((--('concentration_review'!$A$2:$A$84=$A11))*('concentration_review'!$AE$2:$AE$84&gt;0))</f>
        <v/>
      </c>
      <c r="BT11">
        <f>IF(=SUMPRODUCT((--('concentration_review'!$A$2:$A$84=$A11))*('concentration_review'!$AE$2:$AE$84&gt;0))&gt;0,1,0)</f>
        <v/>
      </c>
    </row>
    <row r="12">
      <c r="A12" t="n">
        <v>10</v>
      </c>
      <c r="B12" t="inlineStr">
        <is>
          <t>RO</t>
        </is>
      </c>
      <c r="C12" t="inlineStr">
        <is>
          <t>TFCM0.5</t>
        </is>
      </c>
      <c r="D12" t="inlineStr">
        <is>
          <t>Polyamide</t>
        </is>
      </c>
      <c r="E12" t="inlineStr">
        <is>
          <t>Interfacial polymerization (IP)</t>
        </is>
      </c>
      <c r="F12" s="2">
        <f>IFERROR(TEXTJOIN("; ",TRUE,FILTER('concentration_review'!$Z$2:$Z$84,('concentration_review'!$A$2:$A$84=$A12)*('concentration_review'!$F$2:$F$84="水相单体"))),"")</f>
        <v/>
      </c>
      <c r="G12" s="2">
        <f>IFERROR(TEXTJOIN("; ",TRUE,FILTER('concentration_review'!$AA$2:$AA$84,('concentration_review'!$A$2:$A$84=$A12)*('concentration_review'!$G$2:$G$84="水相单体浓度"))),"")</f>
        <v/>
      </c>
      <c r="H12" s="2">
        <f>IFERROR(TEXTJOIN("; ",TRUE,FILTER('concentration_review'!$AB$2:$AB$84,('concentration_review'!$A$2:$A$84=$A12)*('concentration_review'!$G$2:$G$84="水相单体浓度_单位"))),"")</f>
        <v/>
      </c>
      <c r="I12" s="2">
        <f>IFERROR(TEXTJOIN("; ",TRUE,FILTER('concentration_review'!$Z$2:$Z$84,('concentration_review'!$A$2:$A$84=$A12)*('concentration_review'!$F$2:$F$84="油相单体"))),"")</f>
        <v/>
      </c>
      <c r="J12" s="2">
        <f>IFERROR(TEXTJOIN("; ",TRUE,FILTER('concentration_review'!$AA$2:$AA$84,('concentration_review'!$A$2:$A$84=$A12)*('concentration_review'!$G$2:$G$84="油相单体浓度"))),"")</f>
        <v/>
      </c>
      <c r="K12" s="2">
        <f>IFERROR(TEXTJOIN("; ",TRUE,FILTER('concentration_review'!$AB$2:$AB$84,('concentration_review'!$A$2:$A$84=$A12)*('concentration_review'!$G$2:$G$84="油相单体浓度_单位"))),"")</f>
        <v/>
      </c>
      <c r="L12" t="inlineStr">
        <is>
          <t>n-hexane</t>
        </is>
      </c>
      <c r="M12" t="inlineStr">
        <is>
          <t>PSF</t>
        </is>
      </c>
      <c r="P12" s="2">
        <f>IFERROR(TEXTJOIN("; ",TRUE,FILTER('concentration_review'!$Z$2:$Z$84,('concentration_review'!$A$2:$A$84=$A12)*('concentration_review'!$F$2:$F$84="添加剂"))),"")</f>
        <v/>
      </c>
      <c r="Q12" s="2">
        <f>IFERROR(TEXTJOIN("; ",TRUE,FILTER('concentration_review'!$AA$2:$AA$84,('concentration_review'!$A$2:$A$84=$A12)*('concentration_review'!$G$2:$G$84="添加剂浓度"))),"")</f>
        <v/>
      </c>
      <c r="R12" s="2">
        <f>IFERROR(TEXTJOIN("; ",TRUE,FILTER('concentration_review'!$AB$2:$AB$84,('concentration_review'!$A$2:$A$84=$A12)*('concentration_review'!$G$2:$G$84="添加剂浓度_单位"))),"")</f>
        <v/>
      </c>
      <c r="S12" t="n">
        <v>30</v>
      </c>
      <c r="T12" t="inlineStr">
        <is>
          <t>s</t>
        </is>
      </c>
      <c r="W12" t="n">
        <v>60</v>
      </c>
      <c r="X12" t="inlineStr">
        <is>
          <t>℃</t>
        </is>
      </c>
      <c r="Y12" t="n">
        <v>2</v>
      </c>
      <c r="Z12" t="inlineStr">
        <is>
          <t>min</t>
        </is>
      </c>
      <c r="AA12" s="2">
        <f>IFERROR(TEXTJOIN("; ",TRUE,FILTER('concentration_review'!$Z$2:$Z$84,('concentration_review'!$A$2:$A$84=$A12)*('concentration_review'!$F$2:$F$84="改性剂"))),"")</f>
        <v/>
      </c>
      <c r="AB12" s="2">
        <f>IFERROR(TEXTJOIN("; ",TRUE,FILTER('concentration_review'!$AA$2:$AA$84,('concentration_review'!$A$2:$A$84=$A12)*('concentration_review'!$G$2:$G$84="改性剂浓度"))),"")</f>
        <v/>
      </c>
      <c r="AC12" s="2">
        <f>IFERROR(TEXTJOIN("; ",TRUE,FILTER('concentration_review'!$AB$2:$AB$84,('concentration_review'!$A$2:$A$84=$A12)*('concentration_review'!$G$2:$G$84="改性剂浓度_单位"))),"")</f>
        <v/>
      </c>
      <c r="AS12" t="n">
        <v>2</v>
      </c>
      <c r="AT12" t="inlineStr">
        <is>
          <t>L/(m²·h·bar)</t>
        </is>
      </c>
      <c r="AU12" t="n">
        <v>90</v>
      </c>
      <c r="AV12" t="inlineStr">
        <is>
          <t>%</t>
        </is>
      </c>
      <c r="AW12" s="2">
        <f>IFERROR(TEXTJOIN("; ",TRUE,FILTER('concentration_review'!$AA$2:$AA$84,('concentration_review'!$A$2:$A$84=$A12)*('concentration_review'!$G$2:$G$84="测试NaCl浓度"))),"")</f>
        <v/>
      </c>
      <c r="AX12" s="2">
        <f>IFERROR(TEXTJOIN("; ",TRUE,FILTER('concentration_review'!$AB$2:$AB$84,('concentration_review'!$A$2:$A$84=$A12)*('concentration_review'!$G$2:$G$84="测试NaCl浓度_单位"))),"")</f>
        <v/>
      </c>
      <c r="BA12" t="n">
        <v>15</v>
      </c>
      <c r="BB12" t="inlineStr">
        <is>
          <t>bar</t>
        </is>
      </c>
      <c r="BC12" t="inlineStr">
        <is>
          <t>Cross-flow</t>
        </is>
      </c>
      <c r="BD12" t="inlineStr">
        <is>
          <t>Fei et al_2022_Imidazole assisted molecular-scale regulation of polyamide for preparing.pdf</t>
        </is>
      </c>
      <c r="BE12" t="n">
        <v>2022</v>
      </c>
      <c r="BF12" t="inlineStr">
        <is>
          <t>10.1016/j.jece.2022.108146</t>
        </is>
      </c>
      <c r="BG12" t="inlineStr">
        <is>
          <t>NaCl</t>
        </is>
      </c>
      <c r="BH12" t="inlineStr">
        <is>
          <t>NaCl</t>
        </is>
      </c>
      <c r="BI12" t="n">
        <v>0.1333</v>
      </c>
      <c r="BJ12" t="inlineStr">
        <is>
          <t>L/(m²·h·bar)</t>
        </is>
      </c>
      <c r="BK12" t="inlineStr">
        <is>
          <t>渗透系数(Permeance)</t>
        </is>
      </c>
      <c r="BL12" t="n">
        <v>30</v>
      </c>
      <c r="BM12" t="inlineStr">
        <is>
          <t>Imidazole assisted molecular-scale regulation of polyamide for preparing reverse osmosis membrane with enhanced water permeance</t>
        </is>
      </c>
      <c r="BN12" s="2">
        <f>IFERROR(TEXTJOIN("; ",TRUE,FILTER('concentration_review'!$AC$2:$AC$84,('concentration_review'!$A$2:$A$84=$A12)*('concentration_review'!$C$2:$C$84="aqueous_monomer"))),"")</f>
        <v/>
      </c>
      <c r="BO12" s="2">
        <f>IFERROR(TEXTJOIN("; ",TRUE,FILTER('concentration_review'!$AC$2:$AC$84,('concentration_review'!$A$2:$A$84=$A12)*('concentration_review'!$C$2:$C$84="organic_monomer"))),"")</f>
        <v/>
      </c>
      <c r="BP12" s="2">
        <f>IFERROR(TEXTJOIN("; ",TRUE,FILTER('concentration_review'!$AC$2:$AC$84,('concentration_review'!$A$2:$A$84=$A12)*('concentration_review'!$C$2:$C$84="additive"))),"")</f>
        <v/>
      </c>
      <c r="BQ12" s="2">
        <f>IFERROR(TEXTJOIN("; ",TRUE,FILTER('concentration_review'!$AC$2:$AC$84,('concentration_review'!$A$2:$A$84=$A12)*('concentration_review'!$C$2:$C$84="modifier"))),"")</f>
        <v/>
      </c>
      <c r="BR12" s="2">
        <f>IFERROR(TEXTJOIN("; ",TRUE,FILTER('concentration_review'!$AC$2:$AC$84,('concentration_review'!$A$2:$A$84=$A12)*('concentration_review'!$C$2:$C$84="test_nacl"))),"")</f>
        <v/>
      </c>
      <c r="BS12">
        <f>SUMPRODUCT((--('concentration_review'!$A$2:$A$84=$A12))*('concentration_review'!$AE$2:$AE$84&gt;0))</f>
        <v/>
      </c>
      <c r="BT12">
        <f>IF(=SUMPRODUCT((--('concentration_review'!$A$2:$A$84=$A12))*('concentration_review'!$AE$2:$AE$84&gt;0))&gt;0,1,0)</f>
        <v/>
      </c>
    </row>
    <row r="13">
      <c r="A13" t="n">
        <v>11</v>
      </c>
      <c r="B13" t="inlineStr">
        <is>
          <t>RO</t>
        </is>
      </c>
      <c r="C13" t="inlineStr">
        <is>
          <t>Filmtec-SW30HR-g-3SBMA</t>
        </is>
      </c>
      <c r="D13" t="inlineStr">
        <is>
          <t>Polyamide; Polysulfobetaine</t>
        </is>
      </c>
      <c r="E13" t="inlineStr">
        <is>
          <t>Interfacial polymerization; ARGET ATRP</t>
        </is>
      </c>
      <c r="F13" s="2">
        <f>IFERROR(TEXTJOIN("; ",TRUE,FILTER('concentration_review'!$Z$2:$Z$84,('concentration_review'!$A$2:$A$84=$A13)*('concentration_review'!$F$2:$F$84="水相单体"))),"")</f>
        <v/>
      </c>
      <c r="G13" s="2">
        <f>IFERROR(TEXTJOIN("; ",TRUE,FILTER('concentration_review'!$AA$2:$AA$84,('concentration_review'!$A$2:$A$84=$A13)*('concentration_review'!$G$2:$G$84="水相单体浓度"))),"")</f>
        <v/>
      </c>
      <c r="H13" s="2">
        <f>IFERROR(TEXTJOIN("; ",TRUE,FILTER('concentration_review'!$AB$2:$AB$84,('concentration_review'!$A$2:$A$84=$A13)*('concentration_review'!$G$2:$G$84="水相单体浓度_单位"))),"")</f>
        <v/>
      </c>
      <c r="I13" s="2">
        <f>IFERROR(TEXTJOIN("; ",TRUE,FILTER('concentration_review'!$Z$2:$Z$84,('concentration_review'!$A$2:$A$84=$A13)*('concentration_review'!$F$2:$F$84="油相单体"))),"")</f>
        <v/>
      </c>
      <c r="J13" s="2">
        <f>IFERROR(TEXTJOIN("; ",TRUE,FILTER('concentration_review'!$AA$2:$AA$84,('concentration_review'!$A$2:$A$84=$A13)*('concentration_review'!$G$2:$G$84="油相单体浓度"))),"")</f>
        <v/>
      </c>
      <c r="K13" s="2">
        <f>IFERROR(TEXTJOIN("; ",TRUE,FILTER('concentration_review'!$AB$2:$AB$84,('concentration_review'!$A$2:$A$84=$A13)*('concentration_review'!$G$2:$G$84="油相单体浓度_单位"))),"")</f>
        <v/>
      </c>
      <c r="L13" t="inlineStr">
        <is>
          <t>Hexane; Methanol/water (1:1 v/v)</t>
        </is>
      </c>
      <c r="M13" t="inlineStr">
        <is>
          <t>Polyester; Polysulfone</t>
        </is>
      </c>
      <c r="P13" s="2">
        <f>IFERROR(TEXTJOIN("; ",TRUE,FILTER('concentration_review'!$Z$2:$Z$84,('concentration_review'!$A$2:$A$84=$A13)*('concentration_review'!$F$2:$F$84="添加剂"))),"")</f>
        <v/>
      </c>
      <c r="Q13" s="2">
        <f>IFERROR(TEXTJOIN("; ",TRUE,FILTER('concentration_review'!$AA$2:$AA$84,('concentration_review'!$A$2:$A$84=$A13)*('concentration_review'!$G$2:$G$84="添加剂浓度"))),"")</f>
        <v/>
      </c>
      <c r="R13" s="2">
        <f>IFERROR(TEXTJOIN("; ",TRUE,FILTER('concentration_review'!$AB$2:$AB$84,('concentration_review'!$A$2:$A$84=$A13)*('concentration_review'!$G$2:$G$84="添加剂浓度_单位"))),"")</f>
        <v/>
      </c>
      <c r="S13" t="inlineStr">
        <is>
          <t>180; 24</t>
        </is>
      </c>
      <c r="T13" t="inlineStr">
        <is>
          <t>min (initiator); h (polymerization)</t>
        </is>
      </c>
      <c r="U13" t="inlineStr">
        <is>
          <t>0 then 20-25</t>
        </is>
      </c>
      <c r="V13" t="inlineStr">
        <is>
          <t>℃</t>
        </is>
      </c>
      <c r="AA13" s="2">
        <f>IFERROR(TEXTJOIN("; ",TRUE,FILTER('concentration_review'!$Z$2:$Z$84,('concentration_review'!$A$2:$A$84=$A13)*('concentration_review'!$F$2:$F$84="改性剂"))),"")</f>
        <v/>
      </c>
      <c r="AB13" s="2">
        <f>IFERROR(TEXTJOIN("; ",TRUE,FILTER('concentration_review'!$AA$2:$AA$84,('concentration_review'!$A$2:$A$84=$A13)*('concentration_review'!$G$2:$G$84="改性剂浓度"))),"")</f>
        <v/>
      </c>
      <c r="AC13" s="2">
        <f>IFERROR(TEXTJOIN("; ",TRUE,FILTER('concentration_review'!$AB$2:$AB$84,('concentration_review'!$A$2:$A$84=$A13)*('concentration_review'!$G$2:$G$84="改性剂浓度_单位"))),"")</f>
        <v/>
      </c>
      <c r="AF13" t="inlineStr">
        <is>
          <t>less than 50</t>
        </is>
      </c>
      <c r="AG13" t="inlineStr">
        <is>
          <t>nm</t>
        </is>
      </c>
      <c r="AH13" t="inlineStr">
        <is>
          <t>smoother</t>
        </is>
      </c>
      <c r="AN13" t="inlineStr">
        <is>
          <t>sulfonate ions</t>
        </is>
      </c>
      <c r="AS13" t="n">
        <v>1.14</v>
      </c>
      <c r="AT13" t="inlineStr">
        <is>
          <t>L/(m²·h·bar)</t>
        </is>
      </c>
      <c r="AU13" t="n">
        <v>96.8</v>
      </c>
      <c r="AV13" t="inlineStr">
        <is>
          <t>%</t>
        </is>
      </c>
      <c r="AW13" s="2">
        <f>IFERROR(TEXTJOIN("; ",TRUE,FILTER('concentration_review'!$AA$2:$AA$84,('concentration_review'!$A$2:$A$84=$A13)*('concentration_review'!$G$2:$G$84="测试NaCl浓度"))),"")</f>
        <v/>
      </c>
      <c r="AX13" s="2">
        <f>IFERROR(TEXTJOIN("; ",TRUE,FILTER('concentration_review'!$AB$2:$AB$84,('concentration_review'!$A$2:$A$84=$A13)*('concentration_review'!$G$2:$G$84="测试NaCl浓度_单位"))),"")</f>
        <v/>
      </c>
      <c r="BA13" t="n">
        <v>4140</v>
      </c>
      <c r="BB13" t="inlineStr">
        <is>
          <t>kPa</t>
        </is>
      </c>
      <c r="BC13" t="inlineStr">
        <is>
          <t>Cross-flow</t>
        </is>
      </c>
      <c r="BD13" t="inlineStr">
        <is>
          <t>Ginic-Markovic et al_2015_Biofouling resistance of polysulfobetaine coated reverse osmosis membranes.pdf</t>
        </is>
      </c>
      <c r="BE13" t="n">
        <v>2015</v>
      </c>
      <c r="BF13" t="inlineStr">
        <is>
          <t>10.1016/j.desal.2015.04.024</t>
        </is>
      </c>
      <c r="BG13" t="inlineStr">
        <is>
          <t>NaCl</t>
        </is>
      </c>
      <c r="BH13" t="inlineStr">
        <is>
          <t>NaCl</t>
        </is>
      </c>
      <c r="BI13" t="n">
        <v>0.0003</v>
      </c>
      <c r="BJ13" t="inlineStr">
        <is>
          <t>L/(m²·h·bar)</t>
        </is>
      </c>
      <c r="BK13" t="inlineStr">
        <is>
          <t>渗透系数(Permeance)</t>
        </is>
      </c>
      <c r="BM13" t="inlineStr">
        <is>
          <t>Biofouling resistance of polysulfobetaine coated reverse osmosis membranes</t>
        </is>
      </c>
      <c r="BN13" s="2">
        <f>IFERROR(TEXTJOIN("; ",TRUE,FILTER('concentration_review'!$AC$2:$AC$84,('concentration_review'!$A$2:$A$84=$A13)*('concentration_review'!$C$2:$C$84="aqueous_monomer"))),"")</f>
        <v/>
      </c>
      <c r="BO13" s="2">
        <f>IFERROR(TEXTJOIN("; ",TRUE,FILTER('concentration_review'!$AC$2:$AC$84,('concentration_review'!$A$2:$A$84=$A13)*('concentration_review'!$C$2:$C$84="organic_monomer"))),"")</f>
        <v/>
      </c>
      <c r="BP13" s="2">
        <f>IFERROR(TEXTJOIN("; ",TRUE,FILTER('concentration_review'!$AC$2:$AC$84,('concentration_review'!$A$2:$A$84=$A13)*('concentration_review'!$C$2:$C$84="additive"))),"")</f>
        <v/>
      </c>
      <c r="BQ13" s="2">
        <f>IFERROR(TEXTJOIN("; ",TRUE,FILTER('concentration_review'!$AC$2:$AC$84,('concentration_review'!$A$2:$A$84=$A13)*('concentration_review'!$C$2:$C$84="modifier"))),"")</f>
        <v/>
      </c>
      <c r="BR13" s="2">
        <f>IFERROR(TEXTJOIN("; ",TRUE,FILTER('concentration_review'!$AC$2:$AC$84,('concentration_review'!$A$2:$A$84=$A13)*('concentration_review'!$C$2:$C$84="test_nacl"))),"")</f>
        <v/>
      </c>
      <c r="BS13">
        <f>SUMPRODUCT((--('concentration_review'!$A$2:$A$84=$A13))*('concentration_review'!$AE$2:$AE$84&gt;0))</f>
        <v/>
      </c>
      <c r="BT13">
        <f>IF(=SUMPRODUCT((--('concentration_review'!$A$2:$A$84=$A13))*('concentration_review'!$AE$2:$AE$84&gt;0))&gt;0,1,0)</f>
        <v/>
      </c>
    </row>
    <row r="14">
      <c r="A14" t="n">
        <v>12</v>
      </c>
      <c r="B14" t="inlineStr">
        <is>
          <t>RO</t>
        </is>
      </c>
      <c r="C14" t="inlineStr">
        <is>
          <t>TFN0.1</t>
        </is>
      </c>
      <c r="D14" t="inlineStr">
        <is>
          <t>Polyamide</t>
        </is>
      </c>
      <c r="E14" t="inlineStr">
        <is>
          <t>Interfacial polymerization (IP)</t>
        </is>
      </c>
      <c r="F14" s="2">
        <f>IFERROR(TEXTJOIN("; ",TRUE,FILTER('concentration_review'!$Z$2:$Z$84,('concentration_review'!$A$2:$A$84=$A14)*('concentration_review'!$F$2:$F$84="水相单体"))),"")</f>
        <v/>
      </c>
      <c r="G14" s="2">
        <f>IFERROR(TEXTJOIN("; ",TRUE,FILTER('concentration_review'!$AA$2:$AA$84,('concentration_review'!$A$2:$A$84=$A14)*('concentration_review'!$G$2:$G$84="水相单体浓度"))),"")</f>
        <v/>
      </c>
      <c r="H14" s="2">
        <f>IFERROR(TEXTJOIN("; ",TRUE,FILTER('concentration_review'!$AB$2:$AB$84,('concentration_review'!$A$2:$A$84=$A14)*('concentration_review'!$G$2:$G$84="水相单体浓度_单位"))),"")</f>
        <v/>
      </c>
      <c r="I14" s="2">
        <f>IFERROR(TEXTJOIN("; ",TRUE,FILTER('concentration_review'!$Z$2:$Z$84,('concentration_review'!$A$2:$A$84=$A14)*('concentration_review'!$F$2:$F$84="油相单体"))),"")</f>
        <v/>
      </c>
      <c r="J14" s="2">
        <f>IFERROR(TEXTJOIN("; ",TRUE,FILTER('concentration_review'!$AA$2:$AA$84,('concentration_review'!$A$2:$A$84=$A14)*('concentration_review'!$G$2:$G$84="油相单体浓度"))),"")</f>
        <v/>
      </c>
      <c r="K14" s="2">
        <f>IFERROR(TEXTJOIN("; ",TRUE,FILTER('concentration_review'!$AB$2:$AB$84,('concentration_review'!$A$2:$A$84=$A14)*('concentration_review'!$G$2:$G$84="油相单体浓度_单位"))),"")</f>
        <v/>
      </c>
      <c r="L14" t="inlineStr">
        <is>
          <t>Cyclohexane</t>
        </is>
      </c>
      <c r="M14" t="inlineStr">
        <is>
          <t>PSf</t>
        </is>
      </c>
      <c r="P14" s="2">
        <f>IFERROR(TEXTJOIN("; ",TRUE,FILTER('concentration_review'!$Z$2:$Z$84,('concentration_review'!$A$2:$A$84=$A14)*('concentration_review'!$F$2:$F$84="添加剂"))),"")</f>
        <v/>
      </c>
      <c r="Q14" s="2">
        <f>IFERROR(TEXTJOIN("; ",TRUE,FILTER('concentration_review'!$AA$2:$AA$84,('concentration_review'!$A$2:$A$84=$A14)*('concentration_review'!$G$2:$G$84="添加剂浓度"))),"")</f>
        <v/>
      </c>
      <c r="R14" s="2">
        <f>IFERROR(TEXTJOIN("; ",TRUE,FILTER('concentration_review'!$AB$2:$AB$84,('concentration_review'!$A$2:$A$84=$A14)*('concentration_review'!$G$2:$G$84="添加剂浓度_单位"))),"")</f>
        <v/>
      </c>
      <c r="S14" t="n">
        <v>1</v>
      </c>
      <c r="T14" t="inlineStr">
        <is>
          <t>min</t>
        </is>
      </c>
      <c r="U14" t="inlineStr">
        <is>
          <t>Ambient</t>
        </is>
      </c>
      <c r="W14" t="n">
        <v>90</v>
      </c>
      <c r="X14" t="inlineStr">
        <is>
          <t>℃</t>
        </is>
      </c>
      <c r="Y14" t="n">
        <v>10</v>
      </c>
      <c r="Z14" t="inlineStr">
        <is>
          <t>min</t>
        </is>
      </c>
      <c r="AA14" s="2">
        <f>IFERROR(TEXTJOIN("; ",TRUE,FILTER('concentration_review'!$Z$2:$Z$84,('concentration_review'!$A$2:$A$84=$A14)*('concentration_review'!$F$2:$F$84="改性剂"))),"")</f>
        <v/>
      </c>
      <c r="AB14" s="2">
        <f>IFERROR(TEXTJOIN("; ",TRUE,FILTER('concentration_review'!$AA$2:$AA$84,('concentration_review'!$A$2:$A$84=$A14)*('concentration_review'!$G$2:$G$84="改性剂浓度"))),"")</f>
        <v/>
      </c>
      <c r="AC14" s="2">
        <f>IFERROR(TEXTJOIN("; ",TRUE,FILTER('concentration_review'!$AB$2:$AB$84,('concentration_review'!$A$2:$A$84=$A14)*('concentration_review'!$G$2:$G$84="改性剂浓度_单位"))),"")</f>
        <v/>
      </c>
      <c r="AF14" t="n">
        <v>259.25</v>
      </c>
      <c r="AG14" t="inlineStr">
        <is>
          <t>nm</t>
        </is>
      </c>
      <c r="AH14" t="n">
        <v>75.7</v>
      </c>
      <c r="AI14" t="inlineStr">
        <is>
          <t>nm</t>
        </is>
      </c>
      <c r="AN14" t="inlineStr">
        <is>
          <t>C-N; C=O; Si-O; Al-OH</t>
        </is>
      </c>
      <c r="AQ14" t="n">
        <v>52.9</v>
      </c>
      <c r="AR14" t="inlineStr">
        <is>
          <t>°</t>
        </is>
      </c>
      <c r="AS14" t="n">
        <v>48</v>
      </c>
      <c r="AT14" t="inlineStr">
        <is>
          <t>L m⁻² h⁻¹</t>
        </is>
      </c>
      <c r="AU14" t="n">
        <v>80.5</v>
      </c>
      <c r="AV14" t="inlineStr">
        <is>
          <t>%</t>
        </is>
      </c>
      <c r="AW14" s="2">
        <f>IFERROR(TEXTJOIN("; ",TRUE,FILTER('concentration_review'!$AA$2:$AA$84,('concentration_review'!$A$2:$A$84=$A14)*('concentration_review'!$G$2:$G$84="测试NaCl浓度"))),"")</f>
        <v/>
      </c>
      <c r="AX14" s="2">
        <f>IFERROR(TEXTJOIN("; ",TRUE,FILTER('concentration_review'!$AB$2:$AB$84,('concentration_review'!$A$2:$A$84=$A14)*('concentration_review'!$G$2:$G$84="测试NaCl浓度_单位"))),"")</f>
        <v/>
      </c>
      <c r="BA14" t="n">
        <v>15</v>
      </c>
      <c r="BB14" t="inlineStr">
        <is>
          <t>bar</t>
        </is>
      </c>
      <c r="BC14" t="inlineStr">
        <is>
          <t>Dead-end</t>
        </is>
      </c>
      <c r="BD14" t="inlineStr">
        <is>
          <t>Ghanbari et al_2015_Synthesis and characterization of novel thin film nanocomposite reverse osmosis.pdf</t>
        </is>
      </c>
      <c r="BE14" t="n">
        <v>2015</v>
      </c>
      <c r="BF14" t="inlineStr">
        <is>
          <t>10.1039/c4ra16177g</t>
        </is>
      </c>
      <c r="BG14" t="inlineStr">
        <is>
          <t>NaCl</t>
        </is>
      </c>
      <c r="BH14" t="inlineStr">
        <is>
          <t>NaCl</t>
        </is>
      </c>
      <c r="BI14" t="n">
        <v>3.2</v>
      </c>
      <c r="BJ14" t="inlineStr">
        <is>
          <t>L/(m²·h·bar)</t>
        </is>
      </c>
      <c r="BK14" t="inlineStr">
        <is>
          <t>渗透系数(Permeance)</t>
        </is>
      </c>
      <c r="BL14" t="n">
        <v>60</v>
      </c>
      <c r="BM14" t="inlineStr">
        <is>
          <t>Synthesis and characterization of novel thin film nanocomposite reverse osmosis membranes with improved organic fouling properties for water desalination</t>
        </is>
      </c>
      <c r="BN14" s="2">
        <f>IFERROR(TEXTJOIN("; ",TRUE,FILTER('concentration_review'!$AC$2:$AC$84,('concentration_review'!$A$2:$A$84=$A14)*('concentration_review'!$C$2:$C$84="aqueous_monomer"))),"")</f>
        <v/>
      </c>
      <c r="BO14" s="2">
        <f>IFERROR(TEXTJOIN("; ",TRUE,FILTER('concentration_review'!$AC$2:$AC$84,('concentration_review'!$A$2:$A$84=$A14)*('concentration_review'!$C$2:$C$84="organic_monomer"))),"")</f>
        <v/>
      </c>
      <c r="BP14" s="2">
        <f>IFERROR(TEXTJOIN("; ",TRUE,FILTER('concentration_review'!$AC$2:$AC$84,('concentration_review'!$A$2:$A$84=$A14)*('concentration_review'!$C$2:$C$84="additive"))),"")</f>
        <v/>
      </c>
      <c r="BQ14" s="2">
        <f>IFERROR(TEXTJOIN("; ",TRUE,FILTER('concentration_review'!$AC$2:$AC$84,('concentration_review'!$A$2:$A$84=$A14)*('concentration_review'!$C$2:$C$84="modifier"))),"")</f>
        <v/>
      </c>
      <c r="BR14" s="2">
        <f>IFERROR(TEXTJOIN("; ",TRUE,FILTER('concentration_review'!$AC$2:$AC$84,('concentration_review'!$A$2:$A$84=$A14)*('concentration_review'!$C$2:$C$84="test_nacl"))),"")</f>
        <v/>
      </c>
      <c r="BS14">
        <f>SUMPRODUCT((--('concentration_review'!$A$2:$A$84=$A14))*('concentration_review'!$AE$2:$AE$84&gt;0))</f>
        <v/>
      </c>
      <c r="BT14">
        <f>IF(=SUMPRODUCT((--('concentration_review'!$A$2:$A$84=$A14))*('concentration_review'!$AE$2:$AE$84&gt;0))&gt;0,1,0)</f>
        <v/>
      </c>
    </row>
    <row r="15">
      <c r="A15" t="n">
        <v>13</v>
      </c>
      <c r="B15" t="inlineStr">
        <is>
          <t>RO</t>
        </is>
      </c>
      <c r="C15" t="inlineStr">
        <is>
          <t>(0.1:0.013%) N-IPAAm/MBAAm/CA/CTA-RO membrane</t>
        </is>
      </c>
      <c r="D15" t="inlineStr">
        <is>
          <t>Cellulose acetate; Cellulose triacetate; N-isopropylacrylamide; N,N-methylene bisacrylamide</t>
        </is>
      </c>
      <c r="E15" t="inlineStr">
        <is>
          <t>Phase inversion; Grafting; Crosslinking</t>
        </is>
      </c>
      <c r="F15" s="2">
        <f>IFERROR(TEXTJOIN("; ",TRUE,FILTER('concentration_review'!$Z$2:$Z$84,('concentration_review'!$A$2:$A$84=$A15)*('concentration_review'!$F$2:$F$84="水相单体"))),"")</f>
        <v/>
      </c>
      <c r="G15" s="2">
        <f>IFERROR(TEXTJOIN("; ",TRUE,FILTER('concentration_review'!$AA$2:$AA$84,('concentration_review'!$A$2:$A$84=$A15)*('concentration_review'!$G$2:$G$84="水相单体浓度"))),"")</f>
        <v/>
      </c>
      <c r="H15" s="2">
        <f>IFERROR(TEXTJOIN("; ",TRUE,FILTER('concentration_review'!$AB$2:$AB$84,('concentration_review'!$A$2:$A$84=$A15)*('concentration_review'!$G$2:$G$84="水相单体浓度_单位"))),"")</f>
        <v/>
      </c>
      <c r="I15" s="2">
        <f>IFERROR(TEXTJOIN("; ",TRUE,FILTER('concentration_review'!$Z$2:$Z$84,('concentration_review'!$A$2:$A$84=$A15)*('concentration_review'!$F$2:$F$84="油相单体"))),"")</f>
        <v/>
      </c>
      <c r="J15" s="2">
        <f>IFERROR(TEXTJOIN("; ",TRUE,FILTER('concentration_review'!$AA$2:$AA$84,('concentration_review'!$A$2:$A$84=$A15)*('concentration_review'!$G$2:$G$84="油相单体浓度"))),"")</f>
        <v/>
      </c>
      <c r="K15" s="2">
        <f>IFERROR(TEXTJOIN("; ",TRUE,FILTER('concentration_review'!$AB$2:$AB$84,('concentration_review'!$A$2:$A$84=$A15)*('concentration_review'!$G$2:$G$84="油相单体浓度_单位"))),"")</f>
        <v/>
      </c>
      <c r="L15" t="inlineStr">
        <is>
          <t>acetone; acetic acid; dioxane; methanol; ethanol</t>
        </is>
      </c>
      <c r="M15" t="inlineStr">
        <is>
          <t>glass substrate</t>
        </is>
      </c>
      <c r="N15" t="n">
        <v>7</v>
      </c>
      <c r="P15" s="2">
        <f>IFERROR(TEXTJOIN("; ",TRUE,FILTER('concentration_review'!$Z$2:$Z$84,('concentration_review'!$A$2:$A$84=$A15)*('concentration_review'!$F$2:$F$84="添加剂"))),"")</f>
        <v/>
      </c>
      <c r="Q15" s="2">
        <f>IFERROR(TEXTJOIN("; ",TRUE,FILTER('concentration_review'!$AA$2:$AA$84,('concentration_review'!$A$2:$A$84=$A15)*('concentration_review'!$G$2:$G$84="添加剂浓度"))),"")</f>
        <v/>
      </c>
      <c r="R15" s="2">
        <f>IFERROR(TEXTJOIN("; ",TRUE,FILTER('concentration_review'!$AB$2:$AB$84,('concentration_review'!$A$2:$A$84=$A15)*('concentration_review'!$G$2:$G$84="添加剂浓度_单位"))),"")</f>
        <v/>
      </c>
      <c r="U15" t="inlineStr">
        <is>
          <t>room temperature</t>
        </is>
      </c>
      <c r="W15" t="inlineStr">
        <is>
          <t>60; 80</t>
        </is>
      </c>
      <c r="X15" t="inlineStr">
        <is>
          <t>℃</t>
        </is>
      </c>
      <c r="Y15" t="inlineStr">
        <is>
          <t>10; 10</t>
        </is>
      </c>
      <c r="Z15" t="inlineStr">
        <is>
          <t>min</t>
        </is>
      </c>
      <c r="AA15" s="2">
        <f>IFERROR(TEXTJOIN("; ",TRUE,FILTER('concentration_review'!$Z$2:$Z$84,('concentration_review'!$A$2:$A$84=$A15)*('concentration_review'!$F$2:$F$84="改性剂"))),"")</f>
        <v/>
      </c>
      <c r="AB15" s="2">
        <f>IFERROR(TEXTJOIN("; ",TRUE,FILTER('concentration_review'!$AA$2:$AA$84,('concentration_review'!$A$2:$A$84=$A15)*('concentration_review'!$G$2:$G$84="改性剂浓度"))),"")</f>
        <v/>
      </c>
      <c r="AC15" s="2">
        <f>IFERROR(TEXTJOIN("; ",TRUE,FILTER('concentration_review'!$AB$2:$AB$84,('concentration_review'!$A$2:$A$84=$A15)*('concentration_review'!$G$2:$G$84="改性剂浓度_单位"))),"")</f>
        <v/>
      </c>
      <c r="AD15" t="n">
        <v>10</v>
      </c>
      <c r="AE15" t="inlineStr">
        <is>
          <t>min</t>
        </is>
      </c>
      <c r="AF15" t="n">
        <v>250</v>
      </c>
      <c r="AG15" t="inlineStr">
        <is>
          <t>µm</t>
        </is>
      </c>
      <c r="AH15" t="n">
        <v>13</v>
      </c>
      <c r="AI15" t="inlineStr">
        <is>
          <t>nm</t>
        </is>
      </c>
      <c r="AN15" t="inlineStr">
        <is>
          <t>'-OH; -CH; C=O(acetyl); -NH; C=O(amide); C-N(amide)</t>
        </is>
      </c>
      <c r="AQ15" t="n">
        <v>43.8</v>
      </c>
      <c r="AR15" t="inlineStr">
        <is>
          <t>°</t>
        </is>
      </c>
      <c r="AS15" t="n">
        <v>4.11</v>
      </c>
      <c r="AT15" t="inlineStr">
        <is>
          <t>L/(m²h)</t>
        </is>
      </c>
      <c r="AU15" t="n">
        <v>90</v>
      </c>
      <c r="AV15" t="inlineStr">
        <is>
          <t>%</t>
        </is>
      </c>
      <c r="AW15" s="2">
        <f>IFERROR(TEXTJOIN("; ",TRUE,FILTER('concentration_review'!$AA$2:$AA$84,('concentration_review'!$A$2:$A$84=$A15)*('concentration_review'!$G$2:$G$84="测试NaCl浓度"))),"")</f>
        <v/>
      </c>
      <c r="AX15" s="2">
        <f>IFERROR(TEXTJOIN("; ",TRUE,FILTER('concentration_review'!$AB$2:$AB$84,('concentration_review'!$A$2:$A$84=$A15)*('concentration_review'!$G$2:$G$84="测试NaCl浓度_单位"))),"")</f>
        <v/>
      </c>
      <c r="BA15" t="n">
        <v>10</v>
      </c>
      <c r="BB15" t="inlineStr">
        <is>
          <t>bar</t>
        </is>
      </c>
      <c r="BC15" t="inlineStr">
        <is>
          <t>Cross-flow</t>
        </is>
      </c>
      <c r="BD15" t="inlineStr">
        <is>
          <t>10.1002_pen.25517.pdf</t>
        </is>
      </c>
      <c r="BE15" t="n">
        <v>2020</v>
      </c>
      <c r="BF15" t="inlineStr">
        <is>
          <t>10.1002/pen.25517</t>
        </is>
      </c>
      <c r="BG15" t="inlineStr">
        <is>
          <t>NaCl</t>
        </is>
      </c>
      <c r="BH15" t="inlineStr">
        <is>
          <t>NaCl</t>
        </is>
      </c>
      <c r="BI15" t="n">
        <v>0.411</v>
      </c>
      <c r="BJ15" t="inlineStr">
        <is>
          <t>L/(m²·h·bar)</t>
        </is>
      </c>
      <c r="BK15" t="inlineStr">
        <is>
          <t>渗透系数(Permeance)</t>
        </is>
      </c>
      <c r="BM15" t="inlineStr">
        <is>
          <t>Effect of cellulose acetate/cellulose triacetate ratio on reverse osmosis blend membrane performance</t>
        </is>
      </c>
      <c r="BN15" s="2">
        <f>IFERROR(TEXTJOIN("; ",TRUE,FILTER('concentration_review'!$AC$2:$AC$84,('concentration_review'!$A$2:$A$84=$A15)*('concentration_review'!$C$2:$C$84="aqueous_monomer"))),"")</f>
        <v/>
      </c>
      <c r="BO15" s="2">
        <f>IFERROR(TEXTJOIN("; ",TRUE,FILTER('concentration_review'!$AC$2:$AC$84,('concentration_review'!$A$2:$A$84=$A15)*('concentration_review'!$C$2:$C$84="organic_monomer"))),"")</f>
        <v/>
      </c>
      <c r="BP15" s="2">
        <f>IFERROR(TEXTJOIN("; ",TRUE,FILTER('concentration_review'!$AC$2:$AC$84,('concentration_review'!$A$2:$A$84=$A15)*('concentration_review'!$C$2:$C$84="additive"))),"")</f>
        <v/>
      </c>
      <c r="BQ15" s="2">
        <f>IFERROR(TEXTJOIN("; ",TRUE,FILTER('concentration_review'!$AC$2:$AC$84,('concentration_review'!$A$2:$A$84=$A15)*('concentration_review'!$C$2:$C$84="modifier"))),"")</f>
        <v/>
      </c>
      <c r="BR15" s="2">
        <f>IFERROR(TEXTJOIN("; ",TRUE,FILTER('concentration_review'!$AC$2:$AC$84,('concentration_review'!$A$2:$A$84=$A15)*('concentration_review'!$C$2:$C$84="test_nacl"))),"")</f>
        <v/>
      </c>
      <c r="BS15">
        <f>SUMPRODUCT((--('concentration_review'!$A$2:$A$84=$A15))*('concentration_review'!$AE$2:$AE$84&gt;0))</f>
        <v/>
      </c>
      <c r="BT15">
        <f>IF(=SUMPRODUCT((--('concentration_review'!$A$2:$A$84=$A15))*('concentration_review'!$AE$2:$AE$84&gt;0))&gt;0,1,0)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42" customWidth="1" min="2" max="2"/>
    <col width="17" customWidth="1" min="3" max="3"/>
    <col width="15" customWidth="1" min="4" max="4"/>
    <col width="17" customWidth="1" min="5" max="5"/>
    <col width="19" customWidth="1" min="6" max="6"/>
    <col width="18" customWidth="1" min="7" max="7"/>
    <col width="17" customWidth="1" min="8" max="8"/>
    <col width="33" customWidth="1" min="9" max="9"/>
    <col width="11" customWidth="1" min="10" max="10"/>
    <col width="13" customWidth="1" min="11" max="11"/>
    <col width="30" customWidth="1" min="12" max="12"/>
    <col width="14" customWidth="1" min="13" max="13"/>
    <col width="13" customWidth="1" min="14" max="14"/>
    <col width="18" customWidth="1" min="15" max="15"/>
    <col width="20" customWidth="1" min="16" max="16"/>
    <col width="24" customWidth="1" min="17" max="17"/>
    <col width="24" customWidth="1" min="18" max="18"/>
    <col width="23" customWidth="1" min="19" max="19"/>
    <col width="27" customWidth="1" min="20" max="20"/>
    <col width="19" customWidth="1" min="21" max="21"/>
    <col width="42" customWidth="1" min="22" max="22"/>
    <col width="30" customWidth="1" min="23" max="23"/>
    <col width="23" customWidth="1" min="24" max="24"/>
    <col width="22" customWidth="1" min="25" max="25"/>
    <col width="30" customWidth="1" min="26" max="26"/>
    <col width="13" customWidth="1" min="27" max="27"/>
    <col width="13" customWidth="1" min="28" max="28"/>
    <col width="19" customWidth="1" min="29" max="29"/>
    <col width="42" customWidth="1" min="30" max="30"/>
    <col width="13" customWidth="1" min="31" max="31"/>
    <col width="12" customWidth="1" min="32" max="32"/>
    <col width="16" customWidth="1" min="33" max="33"/>
    <col width="42" customWidth="1" min="34" max="34"/>
  </cols>
  <sheetData>
    <row r="1">
      <c r="A1" s="1" t="inlineStr">
        <is>
          <t>__row_index</t>
        </is>
      </c>
      <c r="B1" s="1" t="inlineStr">
        <is>
          <t>row_id</t>
        </is>
      </c>
      <c r="C1" s="1" t="inlineStr">
        <is>
          <t>slot_name</t>
        </is>
      </c>
      <c r="D1" s="1" t="inlineStr">
        <is>
          <t>slot_label_cn</t>
        </is>
      </c>
      <c r="E1" s="1" t="inlineStr">
        <is>
          <t>slot_item_index</t>
        </is>
      </c>
      <c r="F1" s="1" t="inlineStr">
        <is>
          <t>target_solute_col</t>
        </is>
      </c>
      <c r="G1" s="1" t="inlineStr">
        <is>
          <t>target_value_col</t>
        </is>
      </c>
      <c r="H1" s="1" t="inlineStr">
        <is>
          <t>target_unit_col</t>
        </is>
      </c>
      <c r="I1" s="1" t="inlineStr">
        <is>
          <t>raw_solute</t>
        </is>
      </c>
      <c r="J1" s="1" t="inlineStr">
        <is>
          <t>raw_value</t>
        </is>
      </c>
      <c r="K1" s="1" t="inlineStr">
        <is>
          <t>raw_unit</t>
        </is>
      </c>
      <c r="L1" s="1" t="inlineStr">
        <is>
          <t>parsed_solute</t>
        </is>
      </c>
      <c r="M1" s="1" t="inlineStr">
        <is>
          <t>parsed_value</t>
        </is>
      </c>
      <c r="N1" s="1" t="inlineStr">
        <is>
          <t>parsed_unit</t>
        </is>
      </c>
      <c r="O1" s="1" t="inlineStr">
        <is>
          <t>phase_identified</t>
        </is>
      </c>
      <c r="P1" s="1" t="inlineStr">
        <is>
          <t>phase_evidence</t>
        </is>
      </c>
      <c r="Q1" s="1" t="inlineStr">
        <is>
          <t>physical_form_inferred</t>
        </is>
      </c>
      <c r="R1" s="1" t="inlineStr">
        <is>
          <t>physical_form_evidence</t>
        </is>
      </c>
      <c r="S1" s="1" t="inlineStr">
        <is>
          <t>percent_type_inferred</t>
        </is>
      </c>
      <c r="T1" s="1" t="inlineStr">
        <is>
          <t>suggested_wtpercent_value</t>
        </is>
      </c>
      <c r="U1" s="1" t="inlineStr">
        <is>
          <t>suggested_status</t>
        </is>
      </c>
      <c r="V1" s="1" t="inlineStr">
        <is>
          <t>suggested_reason</t>
        </is>
      </c>
      <c r="W1" s="1" t="inlineStr">
        <is>
          <t>suggested_final_solute</t>
        </is>
      </c>
      <c r="X1" s="1" t="inlineStr">
        <is>
          <t>suggested_final_value</t>
        </is>
      </c>
      <c r="Y1" s="1" t="inlineStr">
        <is>
          <t>suggested_final_unit</t>
        </is>
      </c>
      <c r="Z1" s="1" t="inlineStr">
        <is>
          <t>final_solute</t>
        </is>
      </c>
      <c r="AA1" s="1" t="inlineStr">
        <is>
          <t>final_value</t>
        </is>
      </c>
      <c r="AB1" s="1" t="inlineStr">
        <is>
          <t>final_unit</t>
        </is>
      </c>
      <c r="AC1" s="1" t="inlineStr">
        <is>
          <t>final_status</t>
        </is>
      </c>
      <c r="AD1" s="1" t="inlineStr">
        <is>
          <t>final_reason</t>
        </is>
      </c>
      <c r="AE1" s="1" t="inlineStr">
        <is>
          <t>review_flag</t>
        </is>
      </c>
      <c r="AF1" s="1" t="inlineStr">
        <is>
          <t>confidence</t>
        </is>
      </c>
      <c r="AG1" s="1" t="inlineStr">
        <is>
          <t>need_traceback</t>
        </is>
      </c>
      <c r="AH1" s="1" t="inlineStr">
        <is>
          <t>traceback_target</t>
        </is>
      </c>
    </row>
    <row r="2">
      <c r="A2" s="3" t="n">
        <v>0</v>
      </c>
      <c r="B2" s="3" t="inlineStr">
        <is>
          <t>PMA-GO/RO_Run3</t>
        </is>
      </c>
      <c r="C2" s="3" t="inlineStr">
        <is>
          <t>additive</t>
        </is>
      </c>
      <c r="D2" s="3" t="inlineStr">
        <is>
          <t>添加剂</t>
        </is>
      </c>
      <c r="E2" s="3" t="n">
        <v>1</v>
      </c>
      <c r="F2" s="3" t="inlineStr">
        <is>
          <t>添加剂</t>
        </is>
      </c>
      <c r="G2" s="3" t="inlineStr">
        <is>
          <t>添加剂浓度</t>
        </is>
      </c>
      <c r="H2" s="3" t="inlineStr">
        <is>
          <t>添加剂浓度_单位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>
        <is>
          <t>unknown</t>
        </is>
      </c>
      <c r="P2" s="3" t="inlineStr">
        <is>
          <t>unknown</t>
        </is>
      </c>
      <c r="Q2" s="3" t="inlineStr">
        <is>
          <t>unknown</t>
        </is>
      </c>
      <c r="R2" s="3" t="inlineStr">
        <is>
          <t>unknown</t>
        </is>
      </c>
      <c r="S2" s="3" t="inlineStr">
        <is>
          <t>NOT_PERCENT_UNIT</t>
        </is>
      </c>
      <c r="T2" s="3" t="inlineStr"/>
      <c r="U2" s="3" t="inlineStr">
        <is>
          <t>FAILED_PARSE</t>
        </is>
      </c>
      <c r="V2" s="3" t="inlineStr">
        <is>
          <t>Additive slot has no raw data (solute, value, unit all null).</t>
        </is>
      </c>
      <c r="W2" s="3" t="inlineStr"/>
      <c r="X2" s="3" t="inlineStr"/>
      <c r="Y2" s="3" t="inlineStr"/>
      <c r="Z2" s="4" t="inlineStr"/>
      <c r="AA2" s="4" t="inlineStr"/>
      <c r="AB2" s="4" t="inlineStr"/>
      <c r="AC2" s="4" t="inlineStr">
        <is>
          <t>FAILED_PARSE</t>
        </is>
      </c>
      <c r="AD2" s="4" t="inlineStr">
        <is>
          <t>Additive slot has no raw data (solute, value, unit all null).</t>
        </is>
      </c>
      <c r="AE2" s="3" t="n">
        <v>2</v>
      </c>
      <c r="AF2" s="3" t="inlineStr">
        <is>
          <t>HIGH</t>
        </is>
      </c>
      <c r="AG2" s="3" t="b">
        <v>0</v>
      </c>
      <c r="AH2" s="3" t="inlineStr"/>
    </row>
    <row r="3">
      <c r="A3" s="3" t="n">
        <v>0</v>
      </c>
      <c r="B3" s="3" t="inlineStr">
        <is>
          <t>PMA-GO/RO_Run3</t>
        </is>
      </c>
      <c r="C3" s="3" t="inlineStr">
        <is>
          <t>aqueous_monomer</t>
        </is>
      </c>
      <c r="D3" s="3" t="inlineStr">
        <is>
          <t>水相单体</t>
        </is>
      </c>
      <c r="E3" s="3" t="n">
        <v>1</v>
      </c>
      <c r="F3" s="3" t="inlineStr">
        <is>
          <t>水相单体</t>
        </is>
      </c>
      <c r="G3" s="3" t="inlineStr">
        <is>
          <t>水相单体浓度</t>
        </is>
      </c>
      <c r="H3" s="3" t="inlineStr">
        <is>
          <t>水相单体浓度_单位</t>
        </is>
      </c>
      <c r="I3" s="3" t="inlineStr">
        <is>
          <t>Maleic acid</t>
        </is>
      </c>
      <c r="J3" s="3" t="inlineStr">
        <is>
          <t>17.0</t>
        </is>
      </c>
      <c r="K3" s="3" t="inlineStr">
        <is>
          <t>mg/L</t>
        </is>
      </c>
      <c r="L3" s="3" t="inlineStr">
        <is>
          <t>Maleic acid</t>
        </is>
      </c>
      <c r="M3" s="3" t="inlineStr">
        <is>
          <t>17</t>
        </is>
      </c>
      <c r="N3" s="3" t="inlineStr">
        <is>
          <t>mg/L</t>
        </is>
      </c>
      <c r="O3" s="3" t="inlineStr">
        <is>
          <t>aqueous</t>
        </is>
      </c>
      <c r="P3" s="3" t="inlineStr">
        <is>
          <t>column_hint</t>
        </is>
      </c>
      <c r="Q3" s="3" t="inlineStr">
        <is>
          <t>solid</t>
        </is>
      </c>
      <c r="R3" s="3" t="inlineStr">
        <is>
          <t>chemical_knowledge</t>
        </is>
      </c>
      <c r="S3" s="3" t="inlineStr">
        <is>
          <t>NOT_PERCENT_UNIT</t>
        </is>
      </c>
      <c r="T3" s="3" t="inlineStr"/>
      <c r="U3" s="3" t="inlineStr">
        <is>
          <t>CANNOT_CONVERT</t>
        </is>
      </c>
      <c r="V3" s="3" t="inlineStr">
        <is>
          <t>Unit is mg/L, which is a mass concentration, not a percent; conversion to wt% requires solvent density and solute molecular weight, which are not provided.</t>
        </is>
      </c>
      <c r="W3" s="3" t="inlineStr">
        <is>
          <t>Maleic acid</t>
        </is>
      </c>
      <c r="X3" s="3" t="inlineStr">
        <is>
          <t>17</t>
        </is>
      </c>
      <c r="Y3" s="3" t="inlineStr">
        <is>
          <t>mg/L</t>
        </is>
      </c>
      <c r="Z3" s="4" t="inlineStr">
        <is>
          <t>Maleic acid</t>
        </is>
      </c>
      <c r="AA3" s="4" t="inlineStr">
        <is>
          <t>17</t>
        </is>
      </c>
      <c r="AB3" s="4" t="inlineStr">
        <is>
          <t>mg/L</t>
        </is>
      </c>
      <c r="AC3" s="4" t="inlineStr">
        <is>
          <t>CANNOT_CONVERT</t>
        </is>
      </c>
      <c r="AD3" s="4" t="inlineStr">
        <is>
          <t>Unit is mg/L, which is a mass concentration, not a percent; conversion to wt% requires solvent density and solute molecular weight, which are not provided.</t>
        </is>
      </c>
      <c r="AE3" s="3" t="n">
        <v>2</v>
      </c>
      <c r="AF3" s="3" t="inlineStr">
        <is>
          <t>HIGH</t>
        </is>
      </c>
      <c r="AG3" s="3" t="b">
        <v>0</v>
      </c>
      <c r="AH3" s="3" t="inlineStr"/>
    </row>
    <row r="4">
      <c r="A4" s="3" t="n">
        <v>0</v>
      </c>
      <c r="B4" s="3" t="inlineStr">
        <is>
          <t>PMA-GO/RO_Run3</t>
        </is>
      </c>
      <c r="C4" s="3" t="inlineStr">
        <is>
          <t>modifier</t>
        </is>
      </c>
      <c r="D4" s="3" t="inlineStr">
        <is>
          <t>改性剂</t>
        </is>
      </c>
      <c r="E4" s="3" t="n">
        <v>1</v>
      </c>
      <c r="F4" s="3" t="inlineStr">
        <is>
          <t>改性剂</t>
        </is>
      </c>
      <c r="G4" s="3" t="inlineStr">
        <is>
          <t>改性剂浓度</t>
        </is>
      </c>
      <c r="H4" s="3" t="inlineStr">
        <is>
          <t>改性剂浓度_单位</t>
        </is>
      </c>
      <c r="I4" s="3" t="inlineStr">
        <is>
          <t>Graphene oxide; Polymaleic acid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unknown</t>
        </is>
      </c>
      <c r="P4" s="3" t="inlineStr">
        <is>
          <t>unknown</t>
        </is>
      </c>
      <c r="Q4" s="3" t="inlineStr">
        <is>
          <t>solid</t>
        </is>
      </c>
      <c r="R4" s="3" t="inlineStr">
        <is>
          <t>chemical_knowledge</t>
        </is>
      </c>
      <c r="S4" s="3" t="inlineStr">
        <is>
          <t>NOT_PERCENT_UNIT</t>
        </is>
      </c>
      <c r="T4" s="3" t="inlineStr"/>
      <c r="U4" s="3" t="inlineStr">
        <is>
          <t>FAILED_PARSE</t>
        </is>
      </c>
      <c r="V4" s="3" t="inlineStr">
        <is>
          <t>No concentration value or unit provided for multiple solutes, requiring traceback.</t>
        </is>
      </c>
      <c r="W4" s="3" t="inlineStr"/>
      <c r="X4" s="3" t="inlineStr"/>
      <c r="Y4" s="3" t="inlineStr"/>
      <c r="Z4" s="4" t="inlineStr"/>
      <c r="AA4" s="4" t="inlineStr"/>
      <c r="AB4" s="4" t="inlineStr"/>
      <c r="AC4" s="4" t="inlineStr">
        <is>
          <t>FAILED_PARSE</t>
        </is>
      </c>
      <c r="AD4" s="4" t="inlineStr">
        <is>
          <t>No concentration value or unit provided for multiple solutes, requiring traceback.</t>
        </is>
      </c>
      <c r="AE4" s="3" t="n">
        <v>2</v>
      </c>
      <c r="AF4" s="3" t="inlineStr">
        <is>
          <t>LOW</t>
        </is>
      </c>
      <c r="AG4" s="3" t="b">
        <v>1</v>
      </c>
      <c r="AH4" s="3" t="inlineStr">
        <is>
          <t>SOLUTE_IDENTITY; PHASE_TYPE; PERCENT_TYPE; MAPPING_RELATION; ORIGINAL_UNIT</t>
        </is>
      </c>
    </row>
    <row r="5">
      <c r="A5" s="3" t="n">
        <v>0</v>
      </c>
      <c r="B5" s="3" t="inlineStr">
        <is>
          <t>PMA-GO/RO_Run3</t>
        </is>
      </c>
      <c r="C5" s="3" t="inlineStr">
        <is>
          <t>organic_monomer</t>
        </is>
      </c>
      <c r="D5" s="3" t="inlineStr">
        <is>
          <t>油相单体</t>
        </is>
      </c>
      <c r="E5" s="3" t="n">
        <v>1</v>
      </c>
      <c r="F5" s="3" t="inlineStr">
        <is>
          <t>油相单体</t>
        </is>
      </c>
      <c r="G5" s="3" t="inlineStr">
        <is>
          <t>油相单体浓度</t>
        </is>
      </c>
      <c r="H5" s="3" t="inlineStr">
        <is>
          <t>油相单体浓度_单位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unknown</t>
        </is>
      </c>
      <c r="P5" s="3" t="inlineStr">
        <is>
          <t>unknown</t>
        </is>
      </c>
      <c r="Q5" s="3" t="inlineStr">
        <is>
          <t>unknown</t>
        </is>
      </c>
      <c r="R5" s="3" t="inlineStr">
        <is>
          <t>unknown</t>
        </is>
      </c>
      <c r="S5" s="3" t="inlineStr">
        <is>
          <t>NOT_PERCENT_UNIT</t>
        </is>
      </c>
      <c r="T5" s="3" t="inlineStr"/>
      <c r="U5" s="3" t="inlineStr">
        <is>
          <t>FAILED_PARSE</t>
        </is>
      </c>
      <c r="V5" s="3" t="inlineStr">
        <is>
          <t>No organic monomer data provided in row context.</t>
        </is>
      </c>
      <c r="W5" s="3" t="inlineStr"/>
      <c r="X5" s="3" t="inlineStr"/>
      <c r="Y5" s="3" t="inlineStr"/>
      <c r="Z5" s="4" t="inlineStr"/>
      <c r="AA5" s="4" t="inlineStr"/>
      <c r="AB5" s="4" t="inlineStr"/>
      <c r="AC5" s="4" t="inlineStr">
        <is>
          <t>FAILED_PARSE</t>
        </is>
      </c>
      <c r="AD5" s="4" t="inlineStr">
        <is>
          <t>No organic monomer data provided in row context.</t>
        </is>
      </c>
      <c r="AE5" s="3" t="n">
        <v>2</v>
      </c>
      <c r="AF5" s="3" t="inlineStr">
        <is>
          <t>HIGH</t>
        </is>
      </c>
      <c r="AG5" s="3" t="b">
        <v>0</v>
      </c>
      <c r="AH5" s="3" t="inlineStr"/>
    </row>
    <row r="6">
      <c r="A6" s="5" t="n">
        <v>0</v>
      </c>
      <c r="B6" s="5" t="inlineStr">
        <is>
          <t>PMA-GO/RO_Run3</t>
        </is>
      </c>
      <c r="C6" s="5" t="inlineStr">
        <is>
          <t>test_nacl</t>
        </is>
      </c>
      <c r="D6" s="5" t="inlineStr">
        <is>
          <t>测试NaCl</t>
        </is>
      </c>
      <c r="E6" s="5" t="n">
        <v>1</v>
      </c>
      <c r="F6" s="5" t="inlineStr"/>
      <c r="G6" s="5" t="inlineStr">
        <is>
          <t>测试NaCl浓度</t>
        </is>
      </c>
      <c r="H6" s="5" t="inlineStr">
        <is>
          <t>测试NaCl浓度_单位</t>
        </is>
      </c>
      <c r="I6" s="5" t="inlineStr">
        <is>
          <t>NaCl</t>
        </is>
      </c>
      <c r="J6" s="5" t="inlineStr">
        <is>
          <t>1.0</t>
        </is>
      </c>
      <c r="K6" s="5" t="inlineStr">
        <is>
          <t>g/L</t>
        </is>
      </c>
      <c r="L6" s="5" t="inlineStr">
        <is>
          <t>NaCl</t>
        </is>
      </c>
      <c r="M6" s="5" t="inlineStr">
        <is>
          <t>1</t>
        </is>
      </c>
      <c r="N6" s="5" t="inlineStr">
        <is>
          <t>g/L</t>
        </is>
      </c>
      <c r="O6" s="5" t="inlineStr">
        <is>
          <t>test_aqueous</t>
        </is>
      </c>
      <c r="P6" s="5" t="inlineStr">
        <is>
          <t>column_hint</t>
        </is>
      </c>
      <c r="Q6" s="5" t="inlineStr">
        <is>
          <t>solid</t>
        </is>
      </c>
      <c r="R6" s="5" t="inlineStr">
        <is>
          <t>chemical_knowledge</t>
        </is>
      </c>
      <c r="S6" s="5" t="inlineStr">
        <is>
          <t>NOT_PERCENT_UNIT</t>
        </is>
      </c>
      <c r="T6" s="5" t="inlineStr">
        <is>
          <t>0.1</t>
        </is>
      </c>
      <c r="U6" s="5" t="inlineStr">
        <is>
          <t>SAFE_CONVERTED</t>
        </is>
      </c>
      <c r="V6" s="5" t="inlineStr">
        <is>
          <t>NaCl concentration in g/L can be safely converted to wt% using assumed density of 1 g/mL for dilute aqueous solution.</t>
        </is>
      </c>
      <c r="W6" s="5" t="inlineStr">
        <is>
          <t>NaCl</t>
        </is>
      </c>
      <c r="X6" s="5" t="inlineStr">
        <is>
          <t>0.1</t>
        </is>
      </c>
      <c r="Y6" s="5" t="inlineStr">
        <is>
          <t>wt%</t>
        </is>
      </c>
      <c r="Z6" s="4" t="inlineStr">
        <is>
          <t>NaCl</t>
        </is>
      </c>
      <c r="AA6" s="4" t="inlineStr">
        <is>
          <t>0.1</t>
        </is>
      </c>
      <c r="AB6" s="4" t="inlineStr">
        <is>
          <t>wt%</t>
        </is>
      </c>
      <c r="AC6" s="4" t="inlineStr">
        <is>
          <t>SAFE_CONVERTED</t>
        </is>
      </c>
      <c r="AD6" s="4" t="inlineStr">
        <is>
          <t>NaCl concentration in g/L can be safely converted to wt% using assumed density of 1 g/mL for dilute aqueous solution.</t>
        </is>
      </c>
      <c r="AE6" s="5" t="n">
        <v>0</v>
      </c>
      <c r="AF6" s="5" t="inlineStr">
        <is>
          <t>HIGH</t>
        </is>
      </c>
      <c r="AG6" s="5" t="b">
        <v>0</v>
      </c>
      <c r="AH6" s="5" t="inlineStr"/>
    </row>
    <row r="7">
      <c r="A7" s="3" t="n">
        <v>1</v>
      </c>
      <c r="B7" s="3" t="inlineStr">
        <is>
          <t>mm-BTEC</t>
        </is>
      </c>
      <c r="C7" s="3" t="inlineStr">
        <is>
          <t>additive</t>
        </is>
      </c>
      <c r="D7" s="3" t="inlineStr">
        <is>
          <t>添加剂</t>
        </is>
      </c>
      <c r="E7" s="3" t="n">
        <v>1</v>
      </c>
      <c r="F7" s="3" t="inlineStr">
        <is>
          <t>添加剂</t>
        </is>
      </c>
      <c r="G7" s="3" t="inlineStr">
        <is>
          <t>添加剂浓度</t>
        </is>
      </c>
      <c r="H7" s="3" t="inlineStr">
        <is>
          <t>添加剂浓度_单位</t>
        </is>
      </c>
      <c r="I7" s="3" t="inlineStr">
        <is>
          <t>TEA</t>
        </is>
      </c>
      <c r="J7" s="3" t="inlineStr">
        <is>
          <t>1</t>
        </is>
      </c>
      <c r="K7" s="3" t="inlineStr">
        <is>
          <t>w/v</t>
        </is>
      </c>
      <c r="L7" s="3" t="inlineStr">
        <is>
          <t>TEA</t>
        </is>
      </c>
      <c r="M7" s="3" t="inlineStr">
        <is>
          <t>1</t>
        </is>
      </c>
      <c r="N7" s="3" t="inlineStr">
        <is>
          <t>w/v</t>
        </is>
      </c>
      <c r="O7" s="3" t="inlineStr">
        <is>
          <t>aqueous</t>
        </is>
      </c>
      <c r="P7" s="3" t="inlineStr">
        <is>
          <t>row_context</t>
        </is>
      </c>
      <c r="Q7" s="3" t="inlineStr">
        <is>
          <t>liquid</t>
        </is>
      </c>
      <c r="R7" s="3" t="inlineStr">
        <is>
          <t>chemical_knowledge</t>
        </is>
      </c>
      <c r="S7" s="3" t="inlineStr">
        <is>
          <t>WV_PERCENT</t>
        </is>
      </c>
      <c r="T7" s="3" t="inlineStr"/>
      <c r="U7" s="3" t="inlineStr">
        <is>
          <t>CANNOT_CONVERT</t>
        </is>
      </c>
      <c r="V7" s="3" t="inlineStr">
        <is>
          <t>Unit 'w/v' indicates weight/volume percent, but conversion to wt% requires solute density and molecular weight not provided in context.</t>
        </is>
      </c>
      <c r="W7" s="3" t="inlineStr">
        <is>
          <t>TEA</t>
        </is>
      </c>
      <c r="X7" s="3" t="inlineStr">
        <is>
          <t>1</t>
        </is>
      </c>
      <c r="Y7" s="3" t="inlineStr">
        <is>
          <t>w/v</t>
        </is>
      </c>
      <c r="Z7" s="4" t="inlineStr">
        <is>
          <t>TEA</t>
        </is>
      </c>
      <c r="AA7" s="4" t="inlineStr">
        <is>
          <t>1</t>
        </is>
      </c>
      <c r="AB7" s="4" t="inlineStr">
        <is>
          <t>w/v</t>
        </is>
      </c>
      <c r="AC7" s="4" t="inlineStr">
        <is>
          <t>CANNOT_CONVERT</t>
        </is>
      </c>
      <c r="AD7" s="4" t="inlineStr">
        <is>
          <t>Unit 'w/v' indicates weight/volume percent, but conversion to wt% requires solute density and molecular weight not provided in context.</t>
        </is>
      </c>
      <c r="AE7" s="3" t="n">
        <v>2</v>
      </c>
      <c r="AF7" s="3" t="inlineStr">
        <is>
          <t>MEDIUM</t>
        </is>
      </c>
      <c r="AG7" s="3" t="b">
        <v>1</v>
      </c>
      <c r="AH7" s="3" t="inlineStr">
        <is>
          <t>DENSITY; MOLECULAR_WEIGHT</t>
        </is>
      </c>
    </row>
    <row r="8">
      <c r="A8" s="3" t="n">
        <v>1</v>
      </c>
      <c r="B8" s="3" t="inlineStr">
        <is>
          <t>mm-BTEC</t>
        </is>
      </c>
      <c r="C8" s="3" t="inlineStr">
        <is>
          <t>additive</t>
        </is>
      </c>
      <c r="D8" s="3" t="inlineStr">
        <is>
          <t>添加剂</t>
        </is>
      </c>
      <c r="E8" s="3" t="n">
        <v>2</v>
      </c>
      <c r="F8" s="3" t="inlineStr">
        <is>
          <t>添加剂</t>
        </is>
      </c>
      <c r="G8" s="3" t="inlineStr">
        <is>
          <t>添加剂浓度</t>
        </is>
      </c>
      <c r="H8" s="3" t="inlineStr">
        <is>
          <t>添加剂浓度_单位</t>
        </is>
      </c>
      <c r="I8" s="3" t="inlineStr">
        <is>
          <t>DSS</t>
        </is>
      </c>
      <c r="J8" s="3" t="inlineStr">
        <is>
          <t>0.05</t>
        </is>
      </c>
      <c r="K8" s="3" t="inlineStr">
        <is>
          <t>w/v</t>
        </is>
      </c>
      <c r="L8" s="3" t="inlineStr">
        <is>
          <t>DSS</t>
        </is>
      </c>
      <c r="M8" s="3" t="inlineStr">
        <is>
          <t>0.05</t>
        </is>
      </c>
      <c r="N8" s="3" t="inlineStr">
        <is>
          <t>w/v</t>
        </is>
      </c>
      <c r="O8" s="3" t="inlineStr">
        <is>
          <t>aqueous</t>
        </is>
      </c>
      <c r="P8" s="3" t="inlineStr">
        <is>
          <t>row_context</t>
        </is>
      </c>
      <c r="Q8" s="3" t="inlineStr">
        <is>
          <t>unknown</t>
        </is>
      </c>
      <c r="R8" s="3" t="inlineStr">
        <is>
          <t>unknown</t>
        </is>
      </c>
      <c r="S8" s="3" t="inlineStr">
        <is>
          <t>WV_PERCENT</t>
        </is>
      </c>
      <c r="T8" s="3" t="inlineStr"/>
      <c r="U8" s="3" t="inlineStr">
        <is>
          <t>CANNOT_CONVERT</t>
        </is>
      </c>
      <c r="V8" s="3" t="inlineStr">
        <is>
          <t>Unit 'w/v' indicates weight/volume percent, but solvent and solute density are unknown for conversion to wt%.</t>
        </is>
      </c>
      <c r="W8" s="3" t="inlineStr">
        <is>
          <t>DSS</t>
        </is>
      </c>
      <c r="X8" s="3" t="inlineStr">
        <is>
          <t>0.05</t>
        </is>
      </c>
      <c r="Y8" s="3" t="inlineStr">
        <is>
          <t>w/v</t>
        </is>
      </c>
      <c r="Z8" s="4" t="inlineStr">
        <is>
          <t>DSS</t>
        </is>
      </c>
      <c r="AA8" s="4" t="inlineStr">
        <is>
          <t>0.05</t>
        </is>
      </c>
      <c r="AB8" s="4" t="inlineStr">
        <is>
          <t>w/v</t>
        </is>
      </c>
      <c r="AC8" s="4" t="inlineStr">
        <is>
          <t>CANNOT_CONVERT</t>
        </is>
      </c>
      <c r="AD8" s="4" t="inlineStr">
        <is>
          <t>Unit 'w/v' indicates weight/volume percent, but solvent and solute density are unknown for conversion to wt%.</t>
        </is>
      </c>
      <c r="AE8" s="3" t="n">
        <v>2</v>
      </c>
      <c r="AF8" s="3" t="inlineStr">
        <is>
          <t>MEDIUM</t>
        </is>
      </c>
      <c r="AG8" s="3" t="b">
        <v>1</v>
      </c>
      <c r="AH8" s="3" t="inlineStr">
        <is>
          <t>SOLVENT_TYPE; DENSITY; MOLECULAR_WEIGHT</t>
        </is>
      </c>
    </row>
    <row r="9">
      <c r="A9" s="3" t="n">
        <v>1</v>
      </c>
      <c r="B9" s="3" t="inlineStr">
        <is>
          <t>mm-BTEC</t>
        </is>
      </c>
      <c r="C9" s="3" t="inlineStr">
        <is>
          <t>aqueous_monomer</t>
        </is>
      </c>
      <c r="D9" s="3" t="inlineStr">
        <is>
          <t>水相单体</t>
        </is>
      </c>
      <c r="E9" s="3" t="n">
        <v>1</v>
      </c>
      <c r="F9" s="3" t="inlineStr">
        <is>
          <t>水相单体</t>
        </is>
      </c>
      <c r="G9" s="3" t="inlineStr">
        <is>
          <t>水相单体浓度</t>
        </is>
      </c>
      <c r="H9" s="3" t="inlineStr">
        <is>
          <t>水相单体浓度_单位</t>
        </is>
      </c>
      <c r="I9" s="3" t="inlineStr">
        <is>
          <t>MPDA</t>
        </is>
      </c>
      <c r="J9" s="3" t="inlineStr">
        <is>
          <t>2.0</t>
        </is>
      </c>
      <c r="K9" s="3" t="inlineStr">
        <is>
          <t>w/v</t>
        </is>
      </c>
      <c r="L9" s="3" t="inlineStr">
        <is>
          <t>MPDA</t>
        </is>
      </c>
      <c r="M9" s="3" t="inlineStr">
        <is>
          <t>2</t>
        </is>
      </c>
      <c r="N9" s="3" t="inlineStr">
        <is>
          <t>w/v</t>
        </is>
      </c>
      <c r="O9" s="3" t="inlineStr">
        <is>
          <t>aqueous</t>
        </is>
      </c>
      <c r="P9" s="3" t="inlineStr">
        <is>
          <t>column_hint</t>
        </is>
      </c>
      <c r="Q9" s="3" t="inlineStr">
        <is>
          <t>solid</t>
        </is>
      </c>
      <c r="R9" s="3" t="inlineStr">
        <is>
          <t>chemical_knowledge</t>
        </is>
      </c>
      <c r="S9" s="3" t="inlineStr">
        <is>
          <t>WV_PERCENT</t>
        </is>
      </c>
      <c r="T9" s="3" t="inlineStr"/>
      <c r="U9" s="3" t="inlineStr">
        <is>
          <t>CANNOT_CONVERT</t>
        </is>
      </c>
      <c r="V9" s="3" t="inlineStr">
        <is>
          <t>Unit 'w/v' indicates weight per volume, but solvent and density are unknown, preventing conversion to wt%.</t>
        </is>
      </c>
      <c r="W9" s="3" t="inlineStr">
        <is>
          <t>MPDA</t>
        </is>
      </c>
      <c r="X9" s="3" t="inlineStr">
        <is>
          <t>2</t>
        </is>
      </c>
      <c r="Y9" s="3" t="inlineStr">
        <is>
          <t>w/v</t>
        </is>
      </c>
      <c r="Z9" s="4" t="inlineStr">
        <is>
          <t>MPDA</t>
        </is>
      </c>
      <c r="AA9" s="4" t="inlineStr">
        <is>
          <t>2</t>
        </is>
      </c>
      <c r="AB9" s="4" t="inlineStr">
        <is>
          <t>w/v</t>
        </is>
      </c>
      <c r="AC9" s="4" t="inlineStr">
        <is>
          <t>CANNOT_CONVERT</t>
        </is>
      </c>
      <c r="AD9" s="4" t="inlineStr">
        <is>
          <t>Unit 'w/v' indicates weight per volume, but solvent and density are unknown, preventing conversion to wt%.</t>
        </is>
      </c>
      <c r="AE9" s="3" t="n">
        <v>2</v>
      </c>
      <c r="AF9" s="3" t="inlineStr">
        <is>
          <t>MEDIUM</t>
        </is>
      </c>
      <c r="AG9" s="3" t="b">
        <v>1</v>
      </c>
      <c r="AH9" s="3" t="inlineStr">
        <is>
          <t>PERCENT_TYPE; SOLVENT_TYPE; DENSITY</t>
        </is>
      </c>
    </row>
    <row r="10">
      <c r="A10" s="3" t="n">
        <v>1</v>
      </c>
      <c r="B10" s="3" t="inlineStr">
        <is>
          <t>mm-BTEC</t>
        </is>
      </c>
      <c r="C10" s="3" t="inlineStr">
        <is>
          <t>modifier</t>
        </is>
      </c>
      <c r="D10" s="3" t="inlineStr">
        <is>
          <t>改性剂</t>
        </is>
      </c>
      <c r="E10" s="3" t="n">
        <v>1</v>
      </c>
      <c r="F10" s="3" t="inlineStr">
        <is>
          <t>改性剂</t>
        </is>
      </c>
      <c r="G10" s="3" t="inlineStr">
        <is>
          <t>改性剂浓度</t>
        </is>
      </c>
      <c r="H10" s="3" t="inlineStr">
        <is>
          <t>改性剂浓度_单位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unknown</t>
        </is>
      </c>
      <c r="P10" s="3" t="inlineStr">
        <is>
          <t>unknown</t>
        </is>
      </c>
      <c r="Q10" s="3" t="inlineStr">
        <is>
          <t>unknown</t>
        </is>
      </c>
      <c r="R10" s="3" t="inlineStr">
        <is>
          <t>unknown</t>
        </is>
      </c>
      <c r="S10" s="3" t="inlineStr">
        <is>
          <t>NOT_PERCENT_UNIT</t>
        </is>
      </c>
      <c r="T10" s="3" t="inlineStr"/>
      <c r="U10" s="3" t="inlineStr">
        <is>
          <t>FAILED_PARSE</t>
        </is>
      </c>
      <c r="V10" s="3" t="inlineStr">
        <is>
          <t>Modifier slot is empty with no raw data provided.</t>
        </is>
      </c>
      <c r="W10" s="3" t="inlineStr"/>
      <c r="X10" s="3" t="inlineStr"/>
      <c r="Y10" s="3" t="inlineStr"/>
      <c r="Z10" s="4" t="inlineStr"/>
      <c r="AA10" s="4" t="inlineStr"/>
      <c r="AB10" s="4" t="inlineStr"/>
      <c r="AC10" s="4" t="inlineStr">
        <is>
          <t>FAILED_PARSE</t>
        </is>
      </c>
      <c r="AD10" s="4" t="inlineStr">
        <is>
          <t>Modifier slot is empty with no raw data provided.</t>
        </is>
      </c>
      <c r="AE10" s="3" t="n">
        <v>2</v>
      </c>
      <c r="AF10" s="3" t="inlineStr">
        <is>
          <t>HIGH</t>
        </is>
      </c>
      <c r="AG10" s="3" t="b">
        <v>0</v>
      </c>
      <c r="AH10" s="3" t="inlineStr"/>
    </row>
    <row r="11">
      <c r="A11" s="3" t="n">
        <v>1</v>
      </c>
      <c r="B11" s="3" t="inlineStr">
        <is>
          <t>mm-BTEC</t>
        </is>
      </c>
      <c r="C11" s="3" t="inlineStr">
        <is>
          <t>organic_monomer</t>
        </is>
      </c>
      <c r="D11" s="3" t="inlineStr">
        <is>
          <t>油相单体</t>
        </is>
      </c>
      <c r="E11" s="3" t="n">
        <v>1</v>
      </c>
      <c r="F11" s="3" t="inlineStr">
        <is>
          <t>油相单体</t>
        </is>
      </c>
      <c r="G11" s="3" t="inlineStr">
        <is>
          <t>油相单体浓度</t>
        </is>
      </c>
      <c r="H11" s="3" t="inlineStr">
        <is>
          <t>油相单体浓度_单位</t>
        </is>
      </c>
      <c r="I11" s="3" t="inlineStr">
        <is>
          <t>mm-BTEC</t>
        </is>
      </c>
      <c r="J11" s="3" t="inlineStr">
        <is>
          <t>0.1</t>
        </is>
      </c>
      <c r="K11" s="3" t="inlineStr">
        <is>
          <t>w/v</t>
        </is>
      </c>
      <c r="L11" s="3" t="inlineStr">
        <is>
          <t>mm-BTEC</t>
        </is>
      </c>
      <c r="M11" s="3" t="inlineStr">
        <is>
          <t>0.1</t>
        </is>
      </c>
      <c r="N11" s="3" t="inlineStr">
        <is>
          <t>w/v</t>
        </is>
      </c>
      <c r="O11" s="3" t="inlineStr">
        <is>
          <t>organic</t>
        </is>
      </c>
      <c r="P11" s="3" t="inlineStr">
        <is>
          <t>column_hint</t>
        </is>
      </c>
      <c r="Q11" s="3" t="inlineStr">
        <is>
          <t>unknown</t>
        </is>
      </c>
      <c r="R11" s="3" t="inlineStr">
        <is>
          <t>unknown</t>
        </is>
      </c>
      <c r="S11" s="3" t="inlineStr">
        <is>
          <t>PERCENT_UNKNOWN</t>
        </is>
      </c>
      <c r="T11" s="3" t="inlineStr"/>
      <c r="U11" s="3" t="inlineStr">
        <is>
          <t>CANNOT_CONVERT</t>
        </is>
      </c>
      <c r="V11" s="3" t="inlineStr">
        <is>
          <t>Unit 'w/v' is ambiguous and requires traceback to determine percent type and conversion parameters.</t>
        </is>
      </c>
      <c r="W11" s="3" t="inlineStr">
        <is>
          <t>mm-BTEC</t>
        </is>
      </c>
      <c r="X11" s="3" t="inlineStr">
        <is>
          <t>0.1</t>
        </is>
      </c>
      <c r="Y11" s="3" t="inlineStr">
        <is>
          <t>w/v</t>
        </is>
      </c>
      <c r="Z11" s="4" t="inlineStr">
        <is>
          <t>mm-BTEC</t>
        </is>
      </c>
      <c r="AA11" s="4" t="inlineStr">
        <is>
          <t>0.1</t>
        </is>
      </c>
      <c r="AB11" s="4" t="inlineStr">
        <is>
          <t>w/v</t>
        </is>
      </c>
      <c r="AC11" s="4" t="inlineStr">
        <is>
          <t>CANNOT_CONVERT</t>
        </is>
      </c>
      <c r="AD11" s="4" t="inlineStr">
        <is>
          <t>Unit 'w/v' is ambiguous and requires traceback to determine percent type and conversion parameters.</t>
        </is>
      </c>
      <c r="AE11" s="3" t="n">
        <v>2</v>
      </c>
      <c r="AF11" s="3" t="inlineStr">
        <is>
          <t>LOW</t>
        </is>
      </c>
      <c r="AG11" s="3" t="b">
        <v>1</v>
      </c>
      <c r="AH11" s="3" t="inlineStr">
        <is>
          <t>PERCENT_TYPE; MOLECULAR_WEIGHT; DENSITY</t>
        </is>
      </c>
    </row>
    <row r="12">
      <c r="A12" s="5" t="n">
        <v>1</v>
      </c>
      <c r="B12" s="5" t="inlineStr">
        <is>
          <t>mm-BTEC</t>
        </is>
      </c>
      <c r="C12" s="5" t="inlineStr">
        <is>
          <t>test_nacl</t>
        </is>
      </c>
      <c r="D12" s="5" t="inlineStr">
        <is>
          <t>测试NaCl</t>
        </is>
      </c>
      <c r="E12" s="5" t="n">
        <v>1</v>
      </c>
      <c r="F12" s="5" t="inlineStr"/>
      <c r="G12" s="5" t="inlineStr">
        <is>
          <t>测试NaCl浓度</t>
        </is>
      </c>
      <c r="H12" s="5" t="inlineStr">
        <is>
          <t>测试NaCl浓度_单位</t>
        </is>
      </c>
      <c r="I12" s="5" t="inlineStr">
        <is>
          <t>NaCl</t>
        </is>
      </c>
      <c r="J12" s="5" t="inlineStr">
        <is>
          <t>2000.0</t>
        </is>
      </c>
      <c r="K12" s="5" t="inlineStr">
        <is>
          <t>ppm</t>
        </is>
      </c>
      <c r="L12" s="5" t="inlineStr">
        <is>
          <t>NaCl</t>
        </is>
      </c>
      <c r="M12" s="5" t="inlineStr">
        <is>
          <t>2000</t>
        </is>
      </c>
      <c r="N12" s="5" t="inlineStr">
        <is>
          <t>ppm</t>
        </is>
      </c>
      <c r="O12" s="5" t="inlineStr">
        <is>
          <t>test_aqueous</t>
        </is>
      </c>
      <c r="P12" s="5" t="inlineStr">
        <is>
          <t>column_hint</t>
        </is>
      </c>
      <c r="Q12" s="5" t="inlineStr">
        <is>
          <t>solid</t>
        </is>
      </c>
      <c r="R12" s="5" t="inlineStr">
        <is>
          <t>chemical_knowledge</t>
        </is>
      </c>
      <c r="S12" s="5" t="inlineStr">
        <is>
          <t>NOT_PERCENT_UNIT</t>
        </is>
      </c>
      <c r="T12" s="5" t="inlineStr">
        <is>
          <t>0.2</t>
        </is>
      </c>
      <c r="U12" s="5" t="inlineStr">
        <is>
          <t>SAFE_CONVERTED</t>
        </is>
      </c>
      <c r="V12" s="5" t="inlineStr">
        <is>
          <t>NaCl concentration in ppm can be safely converted to wt% for aqueous solutions.</t>
        </is>
      </c>
      <c r="W12" s="5" t="inlineStr">
        <is>
          <t>NaCl</t>
        </is>
      </c>
      <c r="X12" s="5" t="inlineStr">
        <is>
          <t>0.2</t>
        </is>
      </c>
      <c r="Y12" s="5" t="inlineStr">
        <is>
          <t>wt%</t>
        </is>
      </c>
      <c r="Z12" s="4" t="inlineStr">
        <is>
          <t>NaCl</t>
        </is>
      </c>
      <c r="AA12" s="4" t="inlineStr">
        <is>
          <t>0.2</t>
        </is>
      </c>
      <c r="AB12" s="4" t="inlineStr">
        <is>
          <t>wt%</t>
        </is>
      </c>
      <c r="AC12" s="4" t="inlineStr">
        <is>
          <t>SAFE_CONVERTED</t>
        </is>
      </c>
      <c r="AD12" s="4" t="inlineStr">
        <is>
          <t>NaCl concentration in ppm can be safely converted to wt% for aqueous solutions.</t>
        </is>
      </c>
      <c r="AE12" s="5" t="n">
        <v>0</v>
      </c>
      <c r="AF12" s="5" t="inlineStr">
        <is>
          <t>HIGH</t>
        </is>
      </c>
      <c r="AG12" s="5" t="b">
        <v>0</v>
      </c>
      <c r="AH12" s="5" t="inlineStr"/>
    </row>
    <row r="13">
      <c r="A13" s="3" t="n">
        <v>2</v>
      </c>
      <c r="B13" s="3" t="inlineStr">
        <is>
          <t>LIP 2 cycles</t>
        </is>
      </c>
      <c r="C13" s="3" t="inlineStr">
        <is>
          <t>additive</t>
        </is>
      </c>
      <c r="D13" s="3" t="inlineStr">
        <is>
          <t>添加剂</t>
        </is>
      </c>
      <c r="E13" s="3" t="n">
        <v>1</v>
      </c>
      <c r="F13" s="3" t="inlineStr">
        <is>
          <t>添加剂</t>
        </is>
      </c>
      <c r="G13" s="3" t="inlineStr">
        <is>
          <t>添加剂浓度</t>
        </is>
      </c>
      <c r="H13" s="3" t="inlineStr">
        <is>
          <t>添加剂浓度_单位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unknown</t>
        </is>
      </c>
      <c r="P13" s="3" t="inlineStr">
        <is>
          <t>unknown</t>
        </is>
      </c>
      <c r="Q13" s="3" t="inlineStr">
        <is>
          <t>unknown</t>
        </is>
      </c>
      <c r="R13" s="3" t="inlineStr">
        <is>
          <t>unknown</t>
        </is>
      </c>
      <c r="S13" s="3" t="inlineStr">
        <is>
          <t>NOT_PERCENT_UNIT</t>
        </is>
      </c>
      <c r="T13" s="3" t="inlineStr"/>
      <c r="U13" s="3" t="inlineStr">
        <is>
          <t>FAILED_PARSE</t>
        </is>
      </c>
      <c r="V13" s="3" t="inlineStr">
        <is>
          <t>Additive slot is empty with no raw data provided.</t>
        </is>
      </c>
      <c r="W13" s="3" t="inlineStr"/>
      <c r="X13" s="3" t="inlineStr"/>
      <c r="Y13" s="3" t="inlineStr"/>
      <c r="Z13" s="4" t="inlineStr"/>
      <c r="AA13" s="4" t="inlineStr"/>
      <c r="AB13" s="4" t="inlineStr"/>
      <c r="AC13" s="4" t="inlineStr">
        <is>
          <t>FAILED_PARSE</t>
        </is>
      </c>
      <c r="AD13" s="4" t="inlineStr">
        <is>
          <t>Additive slot is empty with no raw data provided.</t>
        </is>
      </c>
      <c r="AE13" s="3" t="n">
        <v>2</v>
      </c>
      <c r="AF13" s="3" t="inlineStr">
        <is>
          <t>HIGH</t>
        </is>
      </c>
      <c r="AG13" s="3" t="b">
        <v>0</v>
      </c>
      <c r="AH13" s="3" t="inlineStr"/>
    </row>
    <row r="14">
      <c r="A14" s="5" t="n">
        <v>2</v>
      </c>
      <c r="B14" s="5" t="inlineStr">
        <is>
          <t>LIP 2 cycles</t>
        </is>
      </c>
      <c r="C14" s="5" t="inlineStr">
        <is>
          <t>aqueous_monomer</t>
        </is>
      </c>
      <c r="D14" s="5" t="inlineStr">
        <is>
          <t>水相单体</t>
        </is>
      </c>
      <c r="E14" s="5" t="n">
        <v>1</v>
      </c>
      <c r="F14" s="5" t="inlineStr">
        <is>
          <t>水相单体</t>
        </is>
      </c>
      <c r="G14" s="5" t="inlineStr">
        <is>
          <t>水相单体浓度</t>
        </is>
      </c>
      <c r="H14" s="5" t="inlineStr">
        <is>
          <t>水相单体浓度_单位</t>
        </is>
      </c>
      <c r="I14" s="5" t="inlineStr">
        <is>
          <t>MPD</t>
        </is>
      </c>
      <c r="J14" s="5" t="inlineStr">
        <is>
          <t>0.5</t>
        </is>
      </c>
      <c r="K14" s="5" t="inlineStr">
        <is>
          <t>% by mass</t>
        </is>
      </c>
      <c r="L14" s="5" t="inlineStr">
        <is>
          <t>MPD</t>
        </is>
      </c>
      <c r="M14" s="5" t="inlineStr">
        <is>
          <t>0.5</t>
        </is>
      </c>
      <c r="N14" s="5" t="inlineStr">
        <is>
          <t>% by mass</t>
        </is>
      </c>
      <c r="O14" s="5" t="inlineStr">
        <is>
          <t>aqueous</t>
        </is>
      </c>
      <c r="P14" s="5" t="inlineStr">
        <is>
          <t>column_hint</t>
        </is>
      </c>
      <c r="Q14" s="5" t="inlineStr">
        <is>
          <t>solid</t>
        </is>
      </c>
      <c r="R14" s="5" t="inlineStr">
        <is>
          <t>chemical_knowledge</t>
        </is>
      </c>
      <c r="S14" s="5" t="inlineStr">
        <is>
          <t>WT_PERCENT</t>
        </is>
      </c>
      <c r="T14" s="5" t="inlineStr">
        <is>
          <t>0.5</t>
        </is>
      </c>
      <c r="U14" s="5" t="inlineStr">
        <is>
          <t>DIRECT_WT</t>
        </is>
      </c>
      <c r="V14" s="5" t="inlineStr">
        <is>
          <t>Unit '% by mass' explicitly indicates mass percent, and MPD is a solid monomer in aqueous phase.</t>
        </is>
      </c>
      <c r="W14" s="5" t="inlineStr">
        <is>
          <t>MPD</t>
        </is>
      </c>
      <c r="X14" s="5" t="inlineStr">
        <is>
          <t>0.5</t>
        </is>
      </c>
      <c r="Y14" s="5" t="inlineStr">
        <is>
          <t>wt%</t>
        </is>
      </c>
      <c r="Z14" s="4" t="inlineStr">
        <is>
          <t>MPD</t>
        </is>
      </c>
      <c r="AA14" s="4" t="inlineStr">
        <is>
          <t>0.5</t>
        </is>
      </c>
      <c r="AB14" s="4" t="inlineStr">
        <is>
          <t>wt%</t>
        </is>
      </c>
      <c r="AC14" s="4" t="inlineStr">
        <is>
          <t>DIRECT_WT</t>
        </is>
      </c>
      <c r="AD14" s="4" t="inlineStr">
        <is>
          <t>Unit '% by mass' explicitly indicates mass percent, and MPD is a solid monomer in aqueous phase.</t>
        </is>
      </c>
      <c r="AE14" s="5" t="n">
        <v>0</v>
      </c>
      <c r="AF14" s="5" t="inlineStr">
        <is>
          <t>HIGH</t>
        </is>
      </c>
      <c r="AG14" s="5" t="b">
        <v>0</v>
      </c>
      <c r="AH14" s="5" t="inlineStr"/>
    </row>
    <row r="15">
      <c r="A15" s="3" t="n">
        <v>2</v>
      </c>
      <c r="B15" s="3" t="inlineStr">
        <is>
          <t>LIP 2 cycles</t>
        </is>
      </c>
      <c r="C15" s="3" t="inlineStr">
        <is>
          <t>modifier</t>
        </is>
      </c>
      <c r="D15" s="3" t="inlineStr">
        <is>
          <t>改性剂</t>
        </is>
      </c>
      <c r="E15" s="3" t="n">
        <v>1</v>
      </c>
      <c r="F15" s="3" t="inlineStr">
        <is>
          <t>改性剂</t>
        </is>
      </c>
      <c r="G15" s="3" t="inlineStr">
        <is>
          <t>改性剂浓度</t>
        </is>
      </c>
      <c r="H15" s="3" t="inlineStr">
        <is>
          <t>改性剂浓度_单位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unknown</t>
        </is>
      </c>
      <c r="P15" s="3" t="inlineStr">
        <is>
          <t>unknown</t>
        </is>
      </c>
      <c r="Q15" s="3" t="inlineStr">
        <is>
          <t>unknown</t>
        </is>
      </c>
      <c r="R15" s="3" t="inlineStr">
        <is>
          <t>unknown</t>
        </is>
      </c>
      <c r="S15" s="3" t="inlineStr">
        <is>
          <t>NOT_PERCENT_UNIT</t>
        </is>
      </c>
      <c r="T15" s="3" t="inlineStr"/>
      <c r="U15" s="3" t="inlineStr">
        <is>
          <t>FAILED_PARSE</t>
        </is>
      </c>
      <c r="V15" s="3" t="inlineStr">
        <is>
          <t>No modifier data provided in row context.</t>
        </is>
      </c>
      <c r="W15" s="3" t="inlineStr"/>
      <c r="X15" s="3" t="inlineStr"/>
      <c r="Y15" s="3" t="inlineStr"/>
      <c r="Z15" s="4" t="inlineStr"/>
      <c r="AA15" s="4" t="inlineStr"/>
      <c r="AB15" s="4" t="inlineStr"/>
      <c r="AC15" s="4" t="inlineStr">
        <is>
          <t>FAILED_PARSE</t>
        </is>
      </c>
      <c r="AD15" s="4" t="inlineStr">
        <is>
          <t>No modifier data provided in row context.</t>
        </is>
      </c>
      <c r="AE15" s="3" t="n">
        <v>2</v>
      </c>
      <c r="AF15" s="3" t="inlineStr">
        <is>
          <t>HIGH</t>
        </is>
      </c>
      <c r="AG15" s="3" t="b">
        <v>0</v>
      </c>
      <c r="AH15" s="3" t="inlineStr"/>
    </row>
    <row r="16">
      <c r="A16" s="5" t="n">
        <v>2</v>
      </c>
      <c r="B16" s="5" t="inlineStr">
        <is>
          <t>LIP 2 cycles</t>
        </is>
      </c>
      <c r="C16" s="5" t="inlineStr">
        <is>
          <t>organic_monomer</t>
        </is>
      </c>
      <c r="D16" s="5" t="inlineStr">
        <is>
          <t>油相单体</t>
        </is>
      </c>
      <c r="E16" s="5" t="n">
        <v>1</v>
      </c>
      <c r="F16" s="5" t="inlineStr">
        <is>
          <t>油相单体</t>
        </is>
      </c>
      <c r="G16" s="5" t="inlineStr">
        <is>
          <t>油相单体浓度</t>
        </is>
      </c>
      <c r="H16" s="5" t="inlineStr">
        <is>
          <t>油相单体浓度_单位</t>
        </is>
      </c>
      <c r="I16" s="5" t="inlineStr">
        <is>
          <t>TMC</t>
        </is>
      </c>
      <c r="J16" s="5" t="inlineStr">
        <is>
          <t>0.05</t>
        </is>
      </c>
      <c r="K16" s="5" t="inlineStr">
        <is>
          <t>% by mass</t>
        </is>
      </c>
      <c r="L16" s="5" t="inlineStr">
        <is>
          <t>TMC</t>
        </is>
      </c>
      <c r="M16" s="5" t="inlineStr">
        <is>
          <t>0.05</t>
        </is>
      </c>
      <c r="N16" s="5" t="inlineStr">
        <is>
          <t>% by mass</t>
        </is>
      </c>
      <c r="O16" s="5" t="inlineStr">
        <is>
          <t>organic</t>
        </is>
      </c>
      <c r="P16" s="5" t="inlineStr">
        <is>
          <t>column_hint</t>
        </is>
      </c>
      <c r="Q16" s="5" t="inlineStr">
        <is>
          <t>solid</t>
        </is>
      </c>
      <c r="R16" s="5" t="inlineStr">
        <is>
          <t>chemical_knowledge</t>
        </is>
      </c>
      <c r="S16" s="5" t="inlineStr">
        <is>
          <t>WT_PERCENT</t>
        </is>
      </c>
      <c r="T16" s="5" t="inlineStr">
        <is>
          <t>0.05</t>
        </is>
      </c>
      <c r="U16" s="5" t="inlineStr">
        <is>
          <t>DIRECT_WT</t>
        </is>
      </c>
      <c r="V16" s="5" t="inlineStr">
        <is>
          <t>Unit explicitly states '% by mass', indicating mass fraction in organic phase.</t>
        </is>
      </c>
      <c r="W16" s="5" t="inlineStr">
        <is>
          <t>TMC</t>
        </is>
      </c>
      <c r="X16" s="5" t="inlineStr">
        <is>
          <t>0.05</t>
        </is>
      </c>
      <c r="Y16" s="5" t="inlineStr">
        <is>
          <t>wt%</t>
        </is>
      </c>
      <c r="Z16" s="4" t="inlineStr">
        <is>
          <t>TMC</t>
        </is>
      </c>
      <c r="AA16" s="4" t="inlineStr">
        <is>
          <t>0.05</t>
        </is>
      </c>
      <c r="AB16" s="4" t="inlineStr">
        <is>
          <t>wt%</t>
        </is>
      </c>
      <c r="AC16" s="4" t="inlineStr">
        <is>
          <t>DIRECT_WT</t>
        </is>
      </c>
      <c r="AD16" s="4" t="inlineStr">
        <is>
          <t>Unit explicitly states '% by mass', indicating mass fraction in organic phase.</t>
        </is>
      </c>
      <c r="AE16" s="5" t="n">
        <v>0</v>
      </c>
      <c r="AF16" s="5" t="inlineStr">
        <is>
          <t>HIGH</t>
        </is>
      </c>
      <c r="AG16" s="5" t="b">
        <v>0</v>
      </c>
      <c r="AH16" s="5" t="inlineStr"/>
    </row>
    <row r="17">
      <c r="A17" s="5" t="n">
        <v>2</v>
      </c>
      <c r="B17" s="5" t="inlineStr">
        <is>
          <t>LIP 2 cycles</t>
        </is>
      </c>
      <c r="C17" s="5" t="inlineStr">
        <is>
          <t>test_nacl</t>
        </is>
      </c>
      <c r="D17" s="5" t="inlineStr">
        <is>
          <t>测试NaCl</t>
        </is>
      </c>
      <c r="E17" s="5" t="n">
        <v>1</v>
      </c>
      <c r="F17" s="5" t="inlineStr"/>
      <c r="G17" s="5" t="inlineStr">
        <is>
          <t>测试NaCl浓度</t>
        </is>
      </c>
      <c r="H17" s="5" t="inlineStr">
        <is>
          <t>测试NaCl浓度_单位</t>
        </is>
      </c>
      <c r="I17" s="5" t="inlineStr">
        <is>
          <t>NaCl</t>
        </is>
      </c>
      <c r="J17" s="5" t="inlineStr">
        <is>
          <t>2000.0</t>
        </is>
      </c>
      <c r="K17" s="5" t="inlineStr">
        <is>
          <t>ppm</t>
        </is>
      </c>
      <c r="L17" s="5" t="inlineStr">
        <is>
          <t>NaCl</t>
        </is>
      </c>
      <c r="M17" s="5" t="inlineStr">
        <is>
          <t>2000</t>
        </is>
      </c>
      <c r="N17" s="5" t="inlineStr">
        <is>
          <t>ppm</t>
        </is>
      </c>
      <c r="O17" s="5" t="inlineStr">
        <is>
          <t>test_aqueous</t>
        </is>
      </c>
      <c r="P17" s="5" t="inlineStr">
        <is>
          <t>column_hint</t>
        </is>
      </c>
      <c r="Q17" s="5" t="inlineStr">
        <is>
          <t>solid</t>
        </is>
      </c>
      <c r="R17" s="5" t="inlineStr">
        <is>
          <t>chemical_knowledge</t>
        </is>
      </c>
      <c r="S17" s="5" t="inlineStr">
        <is>
          <t>NOT_PERCENT_UNIT</t>
        </is>
      </c>
      <c r="T17" s="5" t="inlineStr">
        <is>
          <t>0.2</t>
        </is>
      </c>
      <c r="U17" s="5" t="inlineStr">
        <is>
          <t>SAFE_CONVERTED</t>
        </is>
      </c>
      <c r="V17" s="5" t="inlineStr">
        <is>
          <t>NaCl concentration in ppm can be safely converted to wt% for aqueous solutions.</t>
        </is>
      </c>
      <c r="W17" s="5" t="inlineStr">
        <is>
          <t>NaCl</t>
        </is>
      </c>
      <c r="X17" s="5" t="inlineStr">
        <is>
          <t>0.2</t>
        </is>
      </c>
      <c r="Y17" s="5" t="inlineStr">
        <is>
          <t>wt%</t>
        </is>
      </c>
      <c r="Z17" s="4" t="inlineStr">
        <is>
          <t>NaCl</t>
        </is>
      </c>
      <c r="AA17" s="4" t="inlineStr">
        <is>
          <t>0.2</t>
        </is>
      </c>
      <c r="AB17" s="4" t="inlineStr">
        <is>
          <t>wt%</t>
        </is>
      </c>
      <c r="AC17" s="4" t="inlineStr">
        <is>
          <t>SAFE_CONVERTED</t>
        </is>
      </c>
      <c r="AD17" s="4" t="inlineStr">
        <is>
          <t>NaCl concentration in ppm can be safely converted to wt% for aqueous solutions.</t>
        </is>
      </c>
      <c r="AE17" s="5" t="n">
        <v>0</v>
      </c>
      <c r="AF17" s="5" t="inlineStr">
        <is>
          <t>HIGH</t>
        </is>
      </c>
      <c r="AG17" s="5" t="b">
        <v>0</v>
      </c>
      <c r="AH17" s="5" t="inlineStr"/>
    </row>
    <row r="18">
      <c r="A18" s="3" t="n">
        <v>3</v>
      </c>
      <c r="B18" s="3" t="inlineStr">
        <is>
          <t>LIP 0 cycle</t>
        </is>
      </c>
      <c r="C18" s="3" t="inlineStr">
        <is>
          <t>additive</t>
        </is>
      </c>
      <c r="D18" s="3" t="inlineStr">
        <is>
          <t>添加剂</t>
        </is>
      </c>
      <c r="E18" s="3" t="n">
        <v>1</v>
      </c>
      <c r="F18" s="3" t="inlineStr">
        <is>
          <t>添加剂</t>
        </is>
      </c>
      <c r="G18" s="3" t="inlineStr">
        <is>
          <t>添加剂浓度</t>
        </is>
      </c>
      <c r="H18" s="3" t="inlineStr">
        <is>
          <t>添加剂浓度_单位</t>
        </is>
      </c>
      <c r="I18" s="3" t="inlineStr">
        <is>
          <t>NaCl</t>
        </is>
      </c>
      <c r="J18" s="3" t="inlineStr">
        <is>
          <t>0.5</t>
        </is>
      </c>
      <c r="K18" s="3" t="inlineStr">
        <is>
          <t>M</t>
        </is>
      </c>
      <c r="L18" s="3" t="inlineStr">
        <is>
          <t>NaCl</t>
        </is>
      </c>
      <c r="M18" s="3" t="inlineStr">
        <is>
          <t>0.5</t>
        </is>
      </c>
      <c r="N18" s="3" t="inlineStr">
        <is>
          <t>M</t>
        </is>
      </c>
      <c r="O18" s="3" t="inlineStr">
        <is>
          <t>aqueous</t>
        </is>
      </c>
      <c r="P18" s="3" t="inlineStr">
        <is>
          <t>chemical_knowledge</t>
        </is>
      </c>
      <c r="Q18" s="3" t="inlineStr">
        <is>
          <t>solid</t>
        </is>
      </c>
      <c r="R18" s="3" t="inlineStr">
        <is>
          <t>chemical_knowledge</t>
        </is>
      </c>
      <c r="S18" s="3" t="inlineStr">
        <is>
          <t>NOT_PERCENT_UNIT</t>
        </is>
      </c>
      <c r="T18" s="3" t="inlineStr"/>
      <c r="U18" s="3" t="inlineStr">
        <is>
          <t>CANNOT_CONVERT</t>
        </is>
      </c>
      <c r="V18" s="3" t="inlineStr">
        <is>
          <t>NaCl is a solid solute in aqueous phase with molar concentration, but conversion to wt% requires solvent type, molecular weight, and density which are not provided.</t>
        </is>
      </c>
      <c r="W18" s="3" t="inlineStr">
        <is>
          <t>NaCl</t>
        </is>
      </c>
      <c r="X18" s="3" t="inlineStr">
        <is>
          <t>0.5</t>
        </is>
      </c>
      <c r="Y18" s="3" t="inlineStr">
        <is>
          <t>M</t>
        </is>
      </c>
      <c r="Z18" s="4" t="inlineStr">
        <is>
          <t>NaCl</t>
        </is>
      </c>
      <c r="AA18" s="4" t="inlineStr">
        <is>
          <t>0.5</t>
        </is>
      </c>
      <c r="AB18" s="4" t="inlineStr">
        <is>
          <t>M</t>
        </is>
      </c>
      <c r="AC18" s="4" t="inlineStr">
        <is>
          <t>CANNOT_CONVERT</t>
        </is>
      </c>
      <c r="AD18" s="4" t="inlineStr">
        <is>
          <t>NaCl is a solid solute in aqueous phase with molar concentration, but conversion to wt% requires solvent type, molecular weight, and density which are not provided.</t>
        </is>
      </c>
      <c r="AE18" s="3" t="n">
        <v>2</v>
      </c>
      <c r="AF18" s="3" t="inlineStr">
        <is>
          <t>HIGH</t>
        </is>
      </c>
      <c r="AG18" s="3" t="b">
        <v>1</v>
      </c>
      <c r="AH18" s="3" t="inlineStr">
        <is>
          <t>SOLVENT_TYPE; MOLECULAR_WEIGHT; DENSITY</t>
        </is>
      </c>
    </row>
    <row r="19">
      <c r="A19" s="3" t="n">
        <v>3</v>
      </c>
      <c r="B19" s="3" t="inlineStr">
        <is>
          <t>LIP 0 cycle</t>
        </is>
      </c>
      <c r="C19" s="3" t="inlineStr">
        <is>
          <t>aqueous_monomer</t>
        </is>
      </c>
      <c r="D19" s="3" t="inlineStr">
        <is>
          <t>水相单体</t>
        </is>
      </c>
      <c r="E19" s="3" t="n">
        <v>1</v>
      </c>
      <c r="F19" s="3" t="inlineStr">
        <is>
          <t>水相单体</t>
        </is>
      </c>
      <c r="G19" s="3" t="inlineStr">
        <is>
          <t>水相单体浓度</t>
        </is>
      </c>
      <c r="H19" s="3" t="inlineStr">
        <is>
          <t>水相单体浓度_单位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unknown</t>
        </is>
      </c>
      <c r="P19" s="3" t="inlineStr">
        <is>
          <t>unknown</t>
        </is>
      </c>
      <c r="Q19" s="3" t="inlineStr">
        <is>
          <t>unknown</t>
        </is>
      </c>
      <c r="R19" s="3" t="inlineStr">
        <is>
          <t>unknown</t>
        </is>
      </c>
      <c r="S19" s="3" t="inlineStr">
        <is>
          <t>NOT_PERCENT_UNIT</t>
        </is>
      </c>
      <c r="T19" s="3" t="inlineStr"/>
      <c r="U19" s="3" t="inlineStr">
        <is>
          <t>FAILED_PARSE</t>
        </is>
      </c>
      <c r="V19" s="3" t="inlineStr">
        <is>
          <t>No solute, value, or unit provided in the slot; all fields are empty.</t>
        </is>
      </c>
      <c r="W19" s="3" t="inlineStr"/>
      <c r="X19" s="3" t="inlineStr"/>
      <c r="Y19" s="3" t="inlineStr"/>
      <c r="Z19" s="4" t="inlineStr"/>
      <c r="AA19" s="4" t="inlineStr"/>
      <c r="AB19" s="4" t="inlineStr"/>
      <c r="AC19" s="4" t="inlineStr">
        <is>
          <t>FAILED_PARSE</t>
        </is>
      </c>
      <c r="AD19" s="4" t="inlineStr">
        <is>
          <t>No solute, value, or unit provided in the slot; all fields are empty.</t>
        </is>
      </c>
      <c r="AE19" s="3" t="n">
        <v>2</v>
      </c>
      <c r="AF19" s="3" t="inlineStr">
        <is>
          <t>LOW</t>
        </is>
      </c>
      <c r="AG19" s="3" t="b">
        <v>1</v>
      </c>
      <c r="AH19" s="3" t="inlineStr">
        <is>
          <t>SOLUTE_IDENTITY; PHASE_TYPE; PERCENT_TYPE; SOLVENT_TYPE</t>
        </is>
      </c>
    </row>
    <row r="20">
      <c r="A20" s="5" t="n">
        <v>3</v>
      </c>
      <c r="B20" s="5" t="inlineStr">
        <is>
          <t>LIP 0 cycle</t>
        </is>
      </c>
      <c r="C20" s="5" t="inlineStr">
        <is>
          <t>modifier</t>
        </is>
      </c>
      <c r="D20" s="5" t="inlineStr">
        <is>
          <t>改性剂</t>
        </is>
      </c>
      <c r="E20" s="5" t="n">
        <v>1</v>
      </c>
      <c r="F20" s="5" t="inlineStr">
        <is>
          <t>改性剂</t>
        </is>
      </c>
      <c r="G20" s="5" t="inlineStr">
        <is>
          <t>改性剂浓度</t>
        </is>
      </c>
      <c r="H20" s="5" t="inlineStr">
        <is>
          <t>改性剂浓度_单位</t>
        </is>
      </c>
      <c r="I20" s="5" t="inlineStr">
        <is>
          <t>PEI</t>
        </is>
      </c>
      <c r="J20" s="5" t="inlineStr">
        <is>
          <t>0.1</t>
        </is>
      </c>
      <c r="K20" s="5" t="inlineStr">
        <is>
          <t>wt%</t>
        </is>
      </c>
      <c r="L20" s="5" t="inlineStr">
        <is>
          <t>PEI</t>
        </is>
      </c>
      <c r="M20" s="5" t="inlineStr">
        <is>
          <t>0.1</t>
        </is>
      </c>
      <c r="N20" s="5" t="inlineStr">
        <is>
          <t>wt%</t>
        </is>
      </c>
      <c r="O20" s="5" t="inlineStr">
        <is>
          <t>unknown</t>
        </is>
      </c>
      <c r="P20" s="5" t="inlineStr">
        <is>
          <t>unknown</t>
        </is>
      </c>
      <c r="Q20" s="5" t="inlineStr">
        <is>
          <t>solid</t>
        </is>
      </c>
      <c r="R20" s="5" t="inlineStr">
        <is>
          <t>chemical_knowledge</t>
        </is>
      </c>
      <c r="S20" s="5" t="inlineStr">
        <is>
          <t>WT_PERCENT</t>
        </is>
      </c>
      <c r="T20" s="5" t="inlineStr">
        <is>
          <t>0.1</t>
        </is>
      </c>
      <c r="U20" s="5" t="inlineStr">
        <is>
          <t>DIRECT_WT</t>
        </is>
      </c>
      <c r="V20" s="5" t="inlineStr">
        <is>
          <t>Unit is explicitly wt%, providing clear weight percent concentration.</t>
        </is>
      </c>
      <c r="W20" s="5" t="inlineStr">
        <is>
          <t>PEI</t>
        </is>
      </c>
      <c r="X20" s="5" t="inlineStr">
        <is>
          <t>0.1</t>
        </is>
      </c>
      <c r="Y20" s="5" t="inlineStr">
        <is>
          <t>wt%</t>
        </is>
      </c>
      <c r="Z20" s="4" t="inlineStr">
        <is>
          <t>PEI</t>
        </is>
      </c>
      <c r="AA20" s="4" t="inlineStr">
        <is>
          <t>0.1</t>
        </is>
      </c>
      <c r="AB20" s="4" t="inlineStr">
        <is>
          <t>wt%</t>
        </is>
      </c>
      <c r="AC20" s="4" t="inlineStr">
        <is>
          <t>DIRECT_WT</t>
        </is>
      </c>
      <c r="AD20" s="4" t="inlineStr">
        <is>
          <t>Unit is explicitly wt%, providing clear weight percent concentration.</t>
        </is>
      </c>
      <c r="AE20" s="5" t="n">
        <v>0</v>
      </c>
      <c r="AF20" s="5" t="inlineStr">
        <is>
          <t>HIGH</t>
        </is>
      </c>
      <c r="AG20" s="5" t="b">
        <v>0</v>
      </c>
      <c r="AH20" s="5" t="inlineStr"/>
    </row>
    <row r="21">
      <c r="A21" s="5" t="n">
        <v>3</v>
      </c>
      <c r="B21" s="5" t="inlineStr">
        <is>
          <t>LIP 0 cycle</t>
        </is>
      </c>
      <c r="C21" s="5" t="inlineStr">
        <is>
          <t>modifier</t>
        </is>
      </c>
      <c r="D21" s="5" t="inlineStr">
        <is>
          <t>改性剂</t>
        </is>
      </c>
      <c r="E21" s="5" t="n">
        <v>2</v>
      </c>
      <c r="F21" s="5" t="inlineStr">
        <is>
          <t>改性剂</t>
        </is>
      </c>
      <c r="G21" s="5" t="inlineStr">
        <is>
          <t>改性剂浓度</t>
        </is>
      </c>
      <c r="H21" s="5" t="inlineStr">
        <is>
          <t>改性剂浓度_单位</t>
        </is>
      </c>
      <c r="I21" s="5" t="inlineStr">
        <is>
          <t>PAA</t>
        </is>
      </c>
      <c r="J21" s="5" t="inlineStr">
        <is>
          <t>0.1</t>
        </is>
      </c>
      <c r="K21" s="5" t="inlineStr">
        <is>
          <t>wt%</t>
        </is>
      </c>
      <c r="L21" s="5" t="inlineStr">
        <is>
          <t>PAA</t>
        </is>
      </c>
      <c r="M21" s="5" t="inlineStr">
        <is>
          <t>0.1</t>
        </is>
      </c>
      <c r="N21" s="5" t="inlineStr">
        <is>
          <t>wt%</t>
        </is>
      </c>
      <c r="O21" s="5" t="inlineStr">
        <is>
          <t>unknown</t>
        </is>
      </c>
      <c r="P21" s="5" t="inlineStr">
        <is>
          <t>unknown</t>
        </is>
      </c>
      <c r="Q21" s="5" t="inlineStr">
        <is>
          <t>unknown</t>
        </is>
      </c>
      <c r="R21" s="5" t="inlineStr">
        <is>
          <t>unknown</t>
        </is>
      </c>
      <c r="S21" s="5" t="inlineStr">
        <is>
          <t>WT_PERCENT</t>
        </is>
      </c>
      <c r="T21" s="5" t="inlineStr">
        <is>
          <t>0.1</t>
        </is>
      </c>
      <c r="U21" s="5" t="inlineStr">
        <is>
          <t>DIRECT_WT</t>
        </is>
      </c>
      <c r="V21" s="5" t="inlineStr">
        <is>
          <t>Unit is explicitly wt%, providing clear weight percent concentration.</t>
        </is>
      </c>
      <c r="W21" s="5" t="inlineStr">
        <is>
          <t>PAA</t>
        </is>
      </c>
      <c r="X21" s="5" t="inlineStr">
        <is>
          <t>0.1</t>
        </is>
      </c>
      <c r="Y21" s="5" t="inlineStr">
        <is>
          <t>wt%</t>
        </is>
      </c>
      <c r="Z21" s="4" t="inlineStr">
        <is>
          <t>PAA</t>
        </is>
      </c>
      <c r="AA21" s="4" t="inlineStr">
        <is>
          <t>0.1</t>
        </is>
      </c>
      <c r="AB21" s="4" t="inlineStr">
        <is>
          <t>wt%</t>
        </is>
      </c>
      <c r="AC21" s="4" t="inlineStr">
        <is>
          <t>DIRECT_WT</t>
        </is>
      </c>
      <c r="AD21" s="4" t="inlineStr">
        <is>
          <t>Unit is explicitly wt%, providing clear weight percent concentration.</t>
        </is>
      </c>
      <c r="AE21" s="5" t="n">
        <v>0</v>
      </c>
      <c r="AF21" s="5" t="inlineStr">
        <is>
          <t>HIGH</t>
        </is>
      </c>
      <c r="AG21" s="5" t="b">
        <v>0</v>
      </c>
      <c r="AH21" s="5" t="inlineStr"/>
    </row>
    <row r="22">
      <c r="A22" s="3" t="n">
        <v>3</v>
      </c>
      <c r="B22" s="3" t="inlineStr">
        <is>
          <t>LIP 0 cycle</t>
        </is>
      </c>
      <c r="C22" s="3" t="inlineStr">
        <is>
          <t>organic_monomer</t>
        </is>
      </c>
      <c r="D22" s="3" t="inlineStr">
        <is>
          <t>油相单体</t>
        </is>
      </c>
      <c r="E22" s="3" t="n">
        <v>1</v>
      </c>
      <c r="F22" s="3" t="inlineStr">
        <is>
          <t>油相单体</t>
        </is>
      </c>
      <c r="G22" s="3" t="inlineStr">
        <is>
          <t>油相单体浓度</t>
        </is>
      </c>
      <c r="H22" s="3" t="inlineStr">
        <is>
          <t>油相单体浓度_单位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unknown</t>
        </is>
      </c>
      <c r="P22" s="3" t="inlineStr">
        <is>
          <t>unknown</t>
        </is>
      </c>
      <c r="Q22" s="3" t="inlineStr">
        <is>
          <t>unknown</t>
        </is>
      </c>
      <c r="R22" s="3" t="inlineStr">
        <is>
          <t>unknown</t>
        </is>
      </c>
      <c r="S22" s="3" t="inlineStr">
        <is>
          <t>NOT_PERCENT_UNIT</t>
        </is>
      </c>
      <c r="T22" s="3" t="inlineStr"/>
      <c r="U22" s="3" t="inlineStr">
        <is>
          <t>FAILED_PARSE</t>
        </is>
      </c>
      <c r="V22" s="3" t="inlineStr">
        <is>
          <t>No organic monomer data provided in row context.</t>
        </is>
      </c>
      <c r="W22" s="3" t="inlineStr"/>
      <c r="X22" s="3" t="inlineStr"/>
      <c r="Y22" s="3" t="inlineStr"/>
      <c r="Z22" s="4" t="inlineStr"/>
      <c r="AA22" s="4" t="inlineStr"/>
      <c r="AB22" s="4" t="inlineStr"/>
      <c r="AC22" s="4" t="inlineStr">
        <is>
          <t>FAILED_PARSE</t>
        </is>
      </c>
      <c r="AD22" s="4" t="inlineStr">
        <is>
          <t>No organic monomer data provided in row context.</t>
        </is>
      </c>
      <c r="AE22" s="3" t="n">
        <v>2</v>
      </c>
      <c r="AF22" s="3" t="inlineStr">
        <is>
          <t>HIGH</t>
        </is>
      </c>
      <c r="AG22" s="3" t="b">
        <v>0</v>
      </c>
      <c r="AH22" s="3" t="inlineStr"/>
    </row>
    <row r="23">
      <c r="A23" s="5" t="n">
        <v>3</v>
      </c>
      <c r="B23" s="5" t="inlineStr">
        <is>
          <t>LIP 0 cycle</t>
        </is>
      </c>
      <c r="C23" s="5" t="inlineStr">
        <is>
          <t>test_nacl</t>
        </is>
      </c>
      <c r="D23" s="5" t="inlineStr">
        <is>
          <t>测试NaCl</t>
        </is>
      </c>
      <c r="E23" s="5" t="n">
        <v>1</v>
      </c>
      <c r="F23" s="5" t="inlineStr"/>
      <c r="G23" s="5" t="inlineStr">
        <is>
          <t>测试NaCl浓度</t>
        </is>
      </c>
      <c r="H23" s="5" t="inlineStr">
        <is>
          <t>测试NaCl浓度_单位</t>
        </is>
      </c>
      <c r="I23" s="5" t="inlineStr">
        <is>
          <t>NaCl</t>
        </is>
      </c>
      <c r="J23" s="5" t="inlineStr">
        <is>
          <t>2000.0</t>
        </is>
      </c>
      <c r="K23" s="5" t="inlineStr">
        <is>
          <t>ppm</t>
        </is>
      </c>
      <c r="L23" s="5" t="inlineStr">
        <is>
          <t>NaCl</t>
        </is>
      </c>
      <c r="M23" s="5" t="inlineStr">
        <is>
          <t>2000</t>
        </is>
      </c>
      <c r="N23" s="5" t="inlineStr">
        <is>
          <t>ppm</t>
        </is>
      </c>
      <c r="O23" s="5" t="inlineStr">
        <is>
          <t>test_aqueous</t>
        </is>
      </c>
      <c r="P23" s="5" t="inlineStr">
        <is>
          <t>column_hint</t>
        </is>
      </c>
      <c r="Q23" s="5" t="inlineStr">
        <is>
          <t>solid</t>
        </is>
      </c>
      <c r="R23" s="5" t="inlineStr">
        <is>
          <t>chemical_knowledge</t>
        </is>
      </c>
      <c r="S23" s="5" t="inlineStr">
        <is>
          <t>NOT_PERCENT_UNIT</t>
        </is>
      </c>
      <c r="T23" s="5" t="inlineStr">
        <is>
          <t>0.2</t>
        </is>
      </c>
      <c r="U23" s="5" t="inlineStr">
        <is>
          <t>SAFE_CONVERTED</t>
        </is>
      </c>
      <c r="V23" s="5" t="inlineStr">
        <is>
          <t>NaCl test concentration in ppm can be safely converted to wt% for aqueous solutions.</t>
        </is>
      </c>
      <c r="W23" s="5" t="inlineStr">
        <is>
          <t>NaCl</t>
        </is>
      </c>
      <c r="X23" s="5" t="inlineStr">
        <is>
          <t>0.2</t>
        </is>
      </c>
      <c r="Y23" s="5" t="inlineStr">
        <is>
          <t>wt%</t>
        </is>
      </c>
      <c r="Z23" s="4" t="inlineStr">
        <is>
          <t>NaCl</t>
        </is>
      </c>
      <c r="AA23" s="4" t="inlineStr">
        <is>
          <t>0.2</t>
        </is>
      </c>
      <c r="AB23" s="4" t="inlineStr">
        <is>
          <t>wt%</t>
        </is>
      </c>
      <c r="AC23" s="4" t="inlineStr">
        <is>
          <t>SAFE_CONVERTED</t>
        </is>
      </c>
      <c r="AD23" s="4" t="inlineStr">
        <is>
          <t>NaCl test concentration in ppm can be safely converted to wt% for aqueous solutions.</t>
        </is>
      </c>
      <c r="AE23" s="5" t="n">
        <v>0</v>
      </c>
      <c r="AF23" s="5" t="inlineStr">
        <is>
          <t>HIGH</t>
        </is>
      </c>
      <c r="AG23" s="5" t="b">
        <v>0</v>
      </c>
      <c r="AH23" s="5" t="inlineStr"/>
    </row>
    <row r="24">
      <c r="A24" s="3" t="n">
        <v>4</v>
      </c>
      <c r="B24" s="3" t="inlineStr">
        <is>
          <t>PSf/TA-RO-1.0DMC</t>
        </is>
      </c>
      <c r="C24" s="3" t="inlineStr">
        <is>
          <t>additive</t>
        </is>
      </c>
      <c r="D24" s="3" t="inlineStr">
        <is>
          <t>添加剂</t>
        </is>
      </c>
      <c r="E24" s="3" t="n">
        <v>1</v>
      </c>
      <c r="F24" s="3" t="inlineStr">
        <is>
          <t>添加剂</t>
        </is>
      </c>
      <c r="G24" s="3" t="inlineStr">
        <is>
          <t>添加剂浓度</t>
        </is>
      </c>
      <c r="H24" s="3" t="inlineStr">
        <is>
          <t>添加剂浓度_单位</t>
        </is>
      </c>
      <c r="I24" s="3" t="inlineStr">
        <is>
          <t>TEA</t>
        </is>
      </c>
      <c r="J24" s="3" t="inlineStr">
        <is>
          <t>1.1</t>
        </is>
      </c>
      <c r="K24" s="3" t="inlineStr">
        <is>
          <t>w/v%</t>
        </is>
      </c>
      <c r="L24" s="3" t="inlineStr">
        <is>
          <t>TEA</t>
        </is>
      </c>
      <c r="M24" s="3" t="inlineStr">
        <is>
          <t>1.1</t>
        </is>
      </c>
      <c r="N24" s="3" t="inlineStr">
        <is>
          <t>w/v%</t>
        </is>
      </c>
      <c r="O24" s="3" t="inlineStr">
        <is>
          <t>aqueous</t>
        </is>
      </c>
      <c r="P24" s="3" t="inlineStr">
        <is>
          <t>row_context</t>
        </is>
      </c>
      <c r="Q24" s="3" t="inlineStr">
        <is>
          <t>liquid</t>
        </is>
      </c>
      <c r="R24" s="3" t="inlineStr">
        <is>
          <t>chemical_knowledge</t>
        </is>
      </c>
      <c r="S24" s="3" t="inlineStr">
        <is>
          <t>WV_PERCENT</t>
        </is>
      </c>
      <c r="T24" s="3" t="inlineStr"/>
      <c r="U24" s="3" t="inlineStr">
        <is>
          <t>CANNOT_CONVERT</t>
        </is>
      </c>
      <c r="V24" s="3" t="inlineStr">
        <is>
          <t>Unit w/v% indicates weight/volume percent, requiring density and molecular weight for conversion to wt%, which are not provided in context.</t>
        </is>
      </c>
      <c r="W24" s="3" t="inlineStr">
        <is>
          <t>TEA</t>
        </is>
      </c>
      <c r="X24" s="3" t="inlineStr">
        <is>
          <t>1.1</t>
        </is>
      </c>
      <c r="Y24" s="3" t="inlineStr">
        <is>
          <t>w/v%</t>
        </is>
      </c>
      <c r="Z24" s="4" t="inlineStr">
        <is>
          <t>TEA</t>
        </is>
      </c>
      <c r="AA24" s="4" t="inlineStr">
        <is>
          <t>1.1</t>
        </is>
      </c>
      <c r="AB24" s="4" t="inlineStr">
        <is>
          <t>w/v%</t>
        </is>
      </c>
      <c r="AC24" s="4" t="inlineStr">
        <is>
          <t>CANNOT_CONVERT</t>
        </is>
      </c>
      <c r="AD24" s="4" t="inlineStr">
        <is>
          <t>Unit w/v% indicates weight/volume percent, requiring density and molecular weight for conversion to wt%, which are not provided in context.</t>
        </is>
      </c>
      <c r="AE24" s="3" t="n">
        <v>2</v>
      </c>
      <c r="AF24" s="3" t="inlineStr">
        <is>
          <t>MEDIUM</t>
        </is>
      </c>
      <c r="AG24" s="3" t="b">
        <v>1</v>
      </c>
      <c r="AH24" s="3" t="inlineStr">
        <is>
          <t>DENSITY; MOLECULAR_WEIGHT</t>
        </is>
      </c>
    </row>
    <row r="25">
      <c r="A25" s="3" t="n">
        <v>4</v>
      </c>
      <c r="B25" s="3" t="inlineStr">
        <is>
          <t>PSf/TA-RO-1.0DMC</t>
        </is>
      </c>
      <c r="C25" s="3" t="inlineStr">
        <is>
          <t>additive</t>
        </is>
      </c>
      <c r="D25" s="3" t="inlineStr">
        <is>
          <t>添加剂</t>
        </is>
      </c>
      <c r="E25" s="3" t="n">
        <v>2</v>
      </c>
      <c r="F25" s="3" t="inlineStr">
        <is>
          <t>添加剂</t>
        </is>
      </c>
      <c r="G25" s="3" t="inlineStr">
        <is>
          <t>添加剂浓度</t>
        </is>
      </c>
      <c r="H25" s="3" t="inlineStr">
        <is>
          <t>添加剂浓度_单位</t>
        </is>
      </c>
      <c r="I25" s="3" t="inlineStr">
        <is>
          <t>CSA</t>
        </is>
      </c>
      <c r="J25" s="3" t="inlineStr">
        <is>
          <t>2.6</t>
        </is>
      </c>
      <c r="K25" s="3" t="inlineStr">
        <is>
          <t>w/v%</t>
        </is>
      </c>
      <c r="L25" s="3" t="inlineStr">
        <is>
          <t>CSA</t>
        </is>
      </c>
      <c r="M25" s="3" t="inlineStr">
        <is>
          <t>2.6</t>
        </is>
      </c>
      <c r="N25" s="3" t="inlineStr">
        <is>
          <t>w/v%</t>
        </is>
      </c>
      <c r="O25" s="3" t="inlineStr">
        <is>
          <t>aqueous</t>
        </is>
      </c>
      <c r="P25" s="3" t="inlineStr">
        <is>
          <t>row_context</t>
        </is>
      </c>
      <c r="Q25" s="3" t="inlineStr">
        <is>
          <t>solid</t>
        </is>
      </c>
      <c r="R25" s="3" t="inlineStr">
        <is>
          <t>chemical_knowledge</t>
        </is>
      </c>
      <c r="S25" s="3" t="inlineStr">
        <is>
          <t>WV_PERCENT</t>
        </is>
      </c>
      <c r="T25" s="3" t="inlineStr"/>
      <c r="U25" s="3" t="inlineStr">
        <is>
          <t>CANNOT_CONVERT</t>
        </is>
      </c>
      <c r="V25" s="3" t="inlineStr">
        <is>
          <t>Unit w/v% indicates weight/volume percent, requiring density and molecular weight for conversion to wt%, which are not provided in context.</t>
        </is>
      </c>
      <c r="W25" s="3" t="inlineStr">
        <is>
          <t>CSA</t>
        </is>
      </c>
      <c r="X25" s="3" t="inlineStr">
        <is>
          <t>2.6</t>
        </is>
      </c>
      <c r="Y25" s="3" t="inlineStr">
        <is>
          <t>w/v%</t>
        </is>
      </c>
      <c r="Z25" s="4" t="inlineStr">
        <is>
          <t>CSA</t>
        </is>
      </c>
      <c r="AA25" s="4" t="inlineStr">
        <is>
          <t>2.6</t>
        </is>
      </c>
      <c r="AB25" s="4" t="inlineStr">
        <is>
          <t>w/v%</t>
        </is>
      </c>
      <c r="AC25" s="4" t="inlineStr">
        <is>
          <t>CANNOT_CONVERT</t>
        </is>
      </c>
      <c r="AD25" s="4" t="inlineStr">
        <is>
          <t>Unit w/v% indicates weight/volume percent, requiring density and molecular weight for conversion to wt%, which are not provided in context.</t>
        </is>
      </c>
      <c r="AE25" s="3" t="n">
        <v>2</v>
      </c>
      <c r="AF25" s="3" t="inlineStr">
        <is>
          <t>MEDIUM</t>
        </is>
      </c>
      <c r="AG25" s="3" t="b">
        <v>1</v>
      </c>
      <c r="AH25" s="3" t="inlineStr">
        <is>
          <t>DENSITY; MOLECULAR_WEIGHT</t>
        </is>
      </c>
    </row>
    <row r="26">
      <c r="A26" s="5" t="n">
        <v>4</v>
      </c>
      <c r="B26" s="5" t="inlineStr">
        <is>
          <t>PSf/TA-RO-1.0DMC</t>
        </is>
      </c>
      <c r="C26" s="5" t="inlineStr">
        <is>
          <t>additive</t>
        </is>
      </c>
      <c r="D26" s="5" t="inlineStr">
        <is>
          <t>添加剂</t>
        </is>
      </c>
      <c r="E26" s="5" t="n">
        <v>3</v>
      </c>
      <c r="F26" s="5" t="inlineStr">
        <is>
          <t>添加剂</t>
        </is>
      </c>
      <c r="G26" s="5" t="inlineStr">
        <is>
          <t>添加剂浓度</t>
        </is>
      </c>
      <c r="H26" s="5" t="inlineStr">
        <is>
          <t>添加剂浓度_单位</t>
        </is>
      </c>
      <c r="I26" s="5" t="inlineStr">
        <is>
          <t>TA</t>
        </is>
      </c>
      <c r="J26" s="5" t="inlineStr">
        <is>
          <t>0.25</t>
        </is>
      </c>
      <c r="K26" s="5" t="inlineStr">
        <is>
          <t>w/w%</t>
        </is>
      </c>
      <c r="L26" s="5" t="inlineStr">
        <is>
          <t>TA</t>
        </is>
      </c>
      <c r="M26" s="5" t="inlineStr">
        <is>
          <t>0.25</t>
        </is>
      </c>
      <c r="N26" s="5" t="inlineStr">
        <is>
          <t>w/w%</t>
        </is>
      </c>
      <c r="O26" s="5" t="inlineStr">
        <is>
          <t>aqueous</t>
        </is>
      </c>
      <c r="P26" s="5" t="inlineStr">
        <is>
          <t>row_context</t>
        </is>
      </c>
      <c r="Q26" s="5" t="inlineStr">
        <is>
          <t>solid</t>
        </is>
      </c>
      <c r="R26" s="5" t="inlineStr">
        <is>
          <t>chemical_knowledge</t>
        </is>
      </c>
      <c r="S26" s="5" t="inlineStr">
        <is>
          <t>WT_PERCENT</t>
        </is>
      </c>
      <c r="T26" s="5" t="inlineStr">
        <is>
          <t>0.25</t>
        </is>
      </c>
      <c r="U26" s="5" t="inlineStr">
        <is>
          <t>DIRECT_WT</t>
        </is>
      </c>
      <c r="V26" s="5" t="inlineStr">
        <is>
          <t>Unit w/w% is explicitly weight percent, mapping is one-to-one, and TA is likely solid in aqueous phase based on context.</t>
        </is>
      </c>
      <c r="W26" s="5" t="inlineStr">
        <is>
          <t>TA</t>
        </is>
      </c>
      <c r="X26" s="5" t="inlineStr">
        <is>
          <t>0.25</t>
        </is>
      </c>
      <c r="Y26" s="5" t="inlineStr">
        <is>
          <t>wt%</t>
        </is>
      </c>
      <c r="Z26" s="4" t="inlineStr">
        <is>
          <t>TA</t>
        </is>
      </c>
      <c r="AA26" s="4" t="inlineStr">
        <is>
          <t>0.25</t>
        </is>
      </c>
      <c r="AB26" s="4" t="inlineStr">
        <is>
          <t>wt%</t>
        </is>
      </c>
      <c r="AC26" s="4" t="inlineStr">
        <is>
          <t>DIRECT_WT</t>
        </is>
      </c>
      <c r="AD26" s="4" t="inlineStr">
        <is>
          <t>Unit w/w% is explicitly weight percent, mapping is one-to-one, and TA is likely solid in aqueous phase based on context.</t>
        </is>
      </c>
      <c r="AE26" s="5" t="n">
        <v>0</v>
      </c>
      <c r="AF26" s="5" t="inlineStr">
        <is>
          <t>HIGH</t>
        </is>
      </c>
      <c r="AG26" s="5" t="b">
        <v>0</v>
      </c>
      <c r="AH26" s="5" t="inlineStr"/>
    </row>
    <row r="27">
      <c r="A27" s="3" t="n">
        <v>4</v>
      </c>
      <c r="B27" s="3" t="inlineStr">
        <is>
          <t>PSf/TA-RO-1.0DMC</t>
        </is>
      </c>
      <c r="C27" s="3" t="inlineStr">
        <is>
          <t>additive</t>
        </is>
      </c>
      <c r="D27" s="3" t="inlineStr">
        <is>
          <t>添加剂</t>
        </is>
      </c>
      <c r="E27" s="3" t="n">
        <v>4</v>
      </c>
      <c r="F27" s="3" t="inlineStr">
        <is>
          <t>添加剂</t>
        </is>
      </c>
      <c r="G27" s="3" t="inlineStr">
        <is>
          <t>添加剂浓度</t>
        </is>
      </c>
      <c r="H27" s="3" t="inlineStr">
        <is>
          <t>添加剂浓度_单位</t>
        </is>
      </c>
      <c r="I27" s="3" t="inlineStr">
        <is>
          <t>DMC</t>
        </is>
      </c>
      <c r="J27" s="3" t="inlineStr">
        <is>
          <t>1.0</t>
        </is>
      </c>
      <c r="K27" s="3" t="inlineStr">
        <is>
          <t>w/v%</t>
        </is>
      </c>
      <c r="L27" s="3" t="inlineStr">
        <is>
          <t>DMC</t>
        </is>
      </c>
      <c r="M27" s="3" t="inlineStr">
        <is>
          <t>1</t>
        </is>
      </c>
      <c r="N27" s="3" t="inlineStr">
        <is>
          <t>w/v%</t>
        </is>
      </c>
      <c r="O27" s="3" t="inlineStr">
        <is>
          <t>organic</t>
        </is>
      </c>
      <c r="P27" s="3" t="inlineStr">
        <is>
          <t>row_context</t>
        </is>
      </c>
      <c r="Q27" s="3" t="inlineStr">
        <is>
          <t>liquid</t>
        </is>
      </c>
      <c r="R27" s="3" t="inlineStr">
        <is>
          <t>chemical_knowledge</t>
        </is>
      </c>
      <c r="S27" s="3" t="inlineStr">
        <is>
          <t>WV_PERCENT</t>
        </is>
      </c>
      <c r="T27" s="3" t="inlineStr"/>
      <c r="U27" s="3" t="inlineStr">
        <is>
          <t>CANNOT_CONVERT</t>
        </is>
      </c>
      <c r="V27" s="3" t="inlineStr">
        <is>
          <t>Unit w/v% indicates weight/volume percent, requiring density and molecular weight for conversion to wt%.</t>
        </is>
      </c>
      <c r="W27" s="3" t="inlineStr">
        <is>
          <t>DMC</t>
        </is>
      </c>
      <c r="X27" s="3" t="inlineStr">
        <is>
          <t>1</t>
        </is>
      </c>
      <c r="Y27" s="3" t="inlineStr">
        <is>
          <t>w/v%</t>
        </is>
      </c>
      <c r="Z27" s="4" t="inlineStr">
        <is>
          <t>DMC</t>
        </is>
      </c>
      <c r="AA27" s="4" t="inlineStr">
        <is>
          <t>1</t>
        </is>
      </c>
      <c r="AB27" s="4" t="inlineStr">
        <is>
          <t>w/v%</t>
        </is>
      </c>
      <c r="AC27" s="4" t="inlineStr">
        <is>
          <t>CANNOT_CONVERT</t>
        </is>
      </c>
      <c r="AD27" s="4" t="inlineStr">
        <is>
          <t>Unit w/v% indicates weight/volume percent, requiring density and molecular weight for conversion to wt%.</t>
        </is>
      </c>
      <c r="AE27" s="3" t="n">
        <v>2</v>
      </c>
      <c r="AF27" s="3" t="inlineStr">
        <is>
          <t>HIGH</t>
        </is>
      </c>
      <c r="AG27" s="3" t="b">
        <v>1</v>
      </c>
      <c r="AH27" s="3" t="inlineStr">
        <is>
          <t>DENSITY; MOLECULAR_WEIGHT</t>
        </is>
      </c>
    </row>
    <row r="28">
      <c r="A28" s="3" t="n">
        <v>4</v>
      </c>
      <c r="B28" s="3" t="inlineStr">
        <is>
          <t>PSf/TA-RO-1.0DMC</t>
        </is>
      </c>
      <c r="C28" s="3" t="inlineStr">
        <is>
          <t>aqueous_monomer</t>
        </is>
      </c>
      <c r="D28" s="3" t="inlineStr">
        <is>
          <t>水相单体</t>
        </is>
      </c>
      <c r="E28" s="3" t="n">
        <v>1</v>
      </c>
      <c r="F28" s="3" t="inlineStr">
        <is>
          <t>水相单体</t>
        </is>
      </c>
      <c r="G28" s="3" t="inlineStr">
        <is>
          <t>水相单体浓度</t>
        </is>
      </c>
      <c r="H28" s="3" t="inlineStr">
        <is>
          <t>水相单体浓度_单位</t>
        </is>
      </c>
      <c r="I28" s="3" t="inlineStr">
        <is>
          <t>MPD</t>
        </is>
      </c>
      <c r="J28" s="3" t="inlineStr">
        <is>
          <t>4.6</t>
        </is>
      </c>
      <c r="K28" s="3" t="inlineStr">
        <is>
          <t>w/v%</t>
        </is>
      </c>
      <c r="L28" s="3" t="inlineStr">
        <is>
          <t>MPD</t>
        </is>
      </c>
      <c r="M28" s="3" t="inlineStr">
        <is>
          <t>4.6</t>
        </is>
      </c>
      <c r="N28" s="3" t="inlineStr">
        <is>
          <t>w/v%</t>
        </is>
      </c>
      <c r="O28" s="3" t="inlineStr">
        <is>
          <t>aqueous</t>
        </is>
      </c>
      <c r="P28" s="3" t="inlineStr">
        <is>
          <t>column_hint</t>
        </is>
      </c>
      <c r="Q28" s="3" t="inlineStr">
        <is>
          <t>solid</t>
        </is>
      </c>
      <c r="R28" s="3" t="inlineStr">
        <is>
          <t>chemical_knowledge</t>
        </is>
      </c>
      <c r="S28" s="3" t="inlineStr">
        <is>
          <t>WV_PERCENT</t>
        </is>
      </c>
      <c r="T28" s="3" t="inlineStr"/>
      <c r="U28" s="3" t="inlineStr">
        <is>
          <t>CANNOT_CONVERT</t>
        </is>
      </c>
      <c r="V28" s="3" t="inlineStr">
        <is>
          <t>Unit w/v% indicates weight/volume percent, requiring density for conversion to wt% which is not provided in context.</t>
        </is>
      </c>
      <c r="W28" s="3" t="inlineStr">
        <is>
          <t>MPD</t>
        </is>
      </c>
      <c r="X28" s="3" t="inlineStr">
        <is>
          <t>4.6</t>
        </is>
      </c>
      <c r="Y28" s="3" t="inlineStr">
        <is>
          <t>w/v%</t>
        </is>
      </c>
      <c r="Z28" s="4" t="inlineStr">
        <is>
          <t>MPD</t>
        </is>
      </c>
      <c r="AA28" s="4" t="inlineStr">
        <is>
          <t>4.6</t>
        </is>
      </c>
      <c r="AB28" s="4" t="inlineStr">
        <is>
          <t>w/v%</t>
        </is>
      </c>
      <c r="AC28" s="4" t="inlineStr">
        <is>
          <t>CANNOT_CONVERT</t>
        </is>
      </c>
      <c r="AD28" s="4" t="inlineStr">
        <is>
          <t>Unit w/v% indicates weight/volume percent, requiring density for conversion to wt% which is not provided in context.</t>
        </is>
      </c>
      <c r="AE28" s="3" t="n">
        <v>2</v>
      </c>
      <c r="AF28" s="3" t="inlineStr">
        <is>
          <t>HIGH</t>
        </is>
      </c>
      <c r="AG28" s="3" t="b">
        <v>0</v>
      </c>
      <c r="AH28" s="3" t="inlineStr"/>
    </row>
    <row r="29">
      <c r="A29" s="3" t="n">
        <v>4</v>
      </c>
      <c r="B29" s="3" t="inlineStr">
        <is>
          <t>PSf/TA-RO-1.0DMC</t>
        </is>
      </c>
      <c r="C29" s="3" t="inlineStr">
        <is>
          <t>modifier</t>
        </is>
      </c>
      <c r="D29" s="3" t="inlineStr">
        <is>
          <t>改性剂</t>
        </is>
      </c>
      <c r="E29" s="3" t="n">
        <v>1</v>
      </c>
      <c r="F29" s="3" t="inlineStr">
        <is>
          <t>改性剂</t>
        </is>
      </c>
      <c r="G29" s="3" t="inlineStr">
        <is>
          <t>改性剂浓度</t>
        </is>
      </c>
      <c r="H29" s="3" t="inlineStr">
        <is>
          <t>改性剂浓度_单位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unknown</t>
        </is>
      </c>
      <c r="P29" s="3" t="inlineStr">
        <is>
          <t>unknown</t>
        </is>
      </c>
      <c r="Q29" s="3" t="inlineStr">
        <is>
          <t>unknown</t>
        </is>
      </c>
      <c r="R29" s="3" t="inlineStr">
        <is>
          <t>unknown</t>
        </is>
      </c>
      <c r="S29" s="3" t="inlineStr">
        <is>
          <t>NOT_PERCENT_UNIT</t>
        </is>
      </c>
      <c r="T29" s="3" t="inlineStr"/>
      <c r="U29" s="3" t="inlineStr">
        <is>
          <t>FAILED_PARSE</t>
        </is>
      </c>
      <c r="V29" s="3" t="inlineStr">
        <is>
          <t>Modifier slot is empty with no raw data provided.</t>
        </is>
      </c>
      <c r="W29" s="3" t="inlineStr"/>
      <c r="X29" s="3" t="inlineStr"/>
      <c r="Y29" s="3" t="inlineStr"/>
      <c r="Z29" s="4" t="inlineStr"/>
      <c r="AA29" s="4" t="inlineStr"/>
      <c r="AB29" s="4" t="inlineStr"/>
      <c r="AC29" s="4" t="inlineStr">
        <is>
          <t>FAILED_PARSE</t>
        </is>
      </c>
      <c r="AD29" s="4" t="inlineStr">
        <is>
          <t>Modifier slot is empty with no raw data provided.</t>
        </is>
      </c>
      <c r="AE29" s="3" t="n">
        <v>2</v>
      </c>
      <c r="AF29" s="3" t="inlineStr">
        <is>
          <t>HIGH</t>
        </is>
      </c>
      <c r="AG29" s="3" t="b">
        <v>0</v>
      </c>
      <c r="AH29" s="3" t="inlineStr"/>
    </row>
    <row r="30">
      <c r="A30" s="3" t="n">
        <v>4</v>
      </c>
      <c r="B30" s="3" t="inlineStr">
        <is>
          <t>PSf/TA-RO-1.0DMC</t>
        </is>
      </c>
      <c r="C30" s="3" t="inlineStr">
        <is>
          <t>organic_monomer</t>
        </is>
      </c>
      <c r="D30" s="3" t="inlineStr">
        <is>
          <t>油相单体</t>
        </is>
      </c>
      <c r="E30" s="3" t="n">
        <v>1</v>
      </c>
      <c r="F30" s="3" t="inlineStr">
        <is>
          <t>油相单体</t>
        </is>
      </c>
      <c r="G30" s="3" t="inlineStr">
        <is>
          <t>油相单体浓度</t>
        </is>
      </c>
      <c r="H30" s="3" t="inlineStr">
        <is>
          <t>油相单体浓度_单位</t>
        </is>
      </c>
      <c r="I30" s="3" t="inlineStr">
        <is>
          <t>TMC</t>
        </is>
      </c>
      <c r="J30" s="3" t="inlineStr">
        <is>
          <t>0.12</t>
        </is>
      </c>
      <c r="K30" s="3" t="inlineStr">
        <is>
          <t>w/v%</t>
        </is>
      </c>
      <c r="L30" s="3" t="inlineStr">
        <is>
          <t>TMC</t>
        </is>
      </c>
      <c r="M30" s="3" t="inlineStr">
        <is>
          <t>0.12</t>
        </is>
      </c>
      <c r="N30" s="3" t="inlineStr">
        <is>
          <t>w/v%</t>
        </is>
      </c>
      <c r="O30" s="3" t="inlineStr">
        <is>
          <t>organic</t>
        </is>
      </c>
      <c r="P30" s="3" t="inlineStr">
        <is>
          <t>column_hint</t>
        </is>
      </c>
      <c r="Q30" s="3" t="inlineStr">
        <is>
          <t>solid</t>
        </is>
      </c>
      <c r="R30" s="3" t="inlineStr">
        <is>
          <t>chemical_knowledge</t>
        </is>
      </c>
      <c r="S30" s="3" t="inlineStr">
        <is>
          <t>WV_PERCENT</t>
        </is>
      </c>
      <c r="T30" s="3" t="inlineStr"/>
      <c r="U30" s="3" t="inlineStr">
        <is>
          <t>NEED_TRACEBACK</t>
        </is>
      </c>
      <c r="V30" s="3" t="inlineStr">
        <is>
          <t>Unit w/v% indicates weight/volume percent, requiring density and molecular weight for conversion to wt%.</t>
        </is>
      </c>
      <c r="W30" s="3" t="inlineStr">
        <is>
          <t>TMC</t>
        </is>
      </c>
      <c r="X30" s="3" t="inlineStr">
        <is>
          <t>0.12</t>
        </is>
      </c>
      <c r="Y30" s="3" t="inlineStr">
        <is>
          <t>w/v%</t>
        </is>
      </c>
      <c r="Z30" s="4" t="inlineStr">
        <is>
          <t>TMC</t>
        </is>
      </c>
      <c r="AA30" s="4" t="inlineStr">
        <is>
          <t>0.12</t>
        </is>
      </c>
      <c r="AB30" s="4" t="inlineStr">
        <is>
          <t>w/v%</t>
        </is>
      </c>
      <c r="AC30" s="4" t="inlineStr">
        <is>
          <t>NEED_TRACEBACK</t>
        </is>
      </c>
      <c r="AD30" s="4" t="inlineStr">
        <is>
          <t>Unit w/v% indicates weight/volume percent, requiring density and molecular weight for conversion to wt%.</t>
        </is>
      </c>
      <c r="AE30" s="3" t="n">
        <v>2</v>
      </c>
      <c r="AF30" s="3" t="inlineStr">
        <is>
          <t>MEDIUM</t>
        </is>
      </c>
      <c r="AG30" s="3" t="b">
        <v>1</v>
      </c>
      <c r="AH30" s="3" t="inlineStr">
        <is>
          <t>DENSITY; MOLECULAR_WEIGHT</t>
        </is>
      </c>
    </row>
    <row r="31">
      <c r="A31" s="5" t="n">
        <v>4</v>
      </c>
      <c r="B31" s="5" t="inlineStr">
        <is>
          <t>PSf/TA-RO-1.0DMC</t>
        </is>
      </c>
      <c r="C31" s="5" t="inlineStr">
        <is>
          <t>test_nacl</t>
        </is>
      </c>
      <c r="D31" s="5" t="inlineStr">
        <is>
          <t>测试NaCl</t>
        </is>
      </c>
      <c r="E31" s="5" t="n">
        <v>1</v>
      </c>
      <c r="F31" s="5" t="inlineStr"/>
      <c r="G31" s="5" t="inlineStr">
        <is>
          <t>测试NaCl浓度</t>
        </is>
      </c>
      <c r="H31" s="5" t="inlineStr">
        <is>
          <t>测试NaCl浓度_单位</t>
        </is>
      </c>
      <c r="I31" s="5" t="inlineStr">
        <is>
          <t>NaCl</t>
        </is>
      </c>
      <c r="J31" s="5" t="inlineStr">
        <is>
          <t>2000.0</t>
        </is>
      </c>
      <c r="K31" s="5" t="inlineStr">
        <is>
          <t>ppm</t>
        </is>
      </c>
      <c r="L31" s="5" t="inlineStr">
        <is>
          <t>NaCl</t>
        </is>
      </c>
      <c r="M31" s="5" t="inlineStr">
        <is>
          <t>2000</t>
        </is>
      </c>
      <c r="N31" s="5" t="inlineStr">
        <is>
          <t>ppm</t>
        </is>
      </c>
      <c r="O31" s="5" t="inlineStr">
        <is>
          <t>test_aqueous</t>
        </is>
      </c>
      <c r="P31" s="5" t="inlineStr">
        <is>
          <t>column_hint</t>
        </is>
      </c>
      <c r="Q31" s="5" t="inlineStr">
        <is>
          <t>solid</t>
        </is>
      </c>
      <c r="R31" s="5" t="inlineStr">
        <is>
          <t>chemical_knowledge</t>
        </is>
      </c>
      <c r="S31" s="5" t="inlineStr">
        <is>
          <t>NOT_PERCENT_UNIT</t>
        </is>
      </c>
      <c r="T31" s="5" t="inlineStr">
        <is>
          <t>0.2</t>
        </is>
      </c>
      <c r="U31" s="5" t="inlineStr">
        <is>
          <t>SAFE_CONVERTED</t>
        </is>
      </c>
      <c r="V31" s="5" t="inlineStr">
        <is>
          <t>NaCl concentration in ppm is clearly defined and can be safely converted to wt% for aqueous solutions.</t>
        </is>
      </c>
      <c r="W31" s="5" t="inlineStr">
        <is>
          <t>NaCl</t>
        </is>
      </c>
      <c r="X31" s="5" t="inlineStr">
        <is>
          <t>0.2</t>
        </is>
      </c>
      <c r="Y31" s="5" t="inlineStr">
        <is>
          <t>wt%</t>
        </is>
      </c>
      <c r="Z31" s="4" t="inlineStr">
        <is>
          <t>NaCl</t>
        </is>
      </c>
      <c r="AA31" s="4" t="inlineStr">
        <is>
          <t>0.2</t>
        </is>
      </c>
      <c r="AB31" s="4" t="inlineStr">
        <is>
          <t>wt%</t>
        </is>
      </c>
      <c r="AC31" s="4" t="inlineStr">
        <is>
          <t>SAFE_CONVERTED</t>
        </is>
      </c>
      <c r="AD31" s="4" t="inlineStr">
        <is>
          <t>NaCl concentration in ppm is clearly defined and can be safely converted to wt% for aqueous solutions.</t>
        </is>
      </c>
      <c r="AE31" s="5" t="n">
        <v>0</v>
      </c>
      <c r="AF31" s="5" t="inlineStr">
        <is>
          <t>HIGH</t>
        </is>
      </c>
      <c r="AG31" s="5" t="b">
        <v>0</v>
      </c>
      <c r="AH31" s="5" t="inlineStr"/>
    </row>
    <row r="32">
      <c r="A32" s="3" t="n">
        <v>5</v>
      </c>
      <c r="B32" s="3" t="inlineStr">
        <is>
          <t>MDOPC/OG</t>
        </is>
      </c>
      <c r="C32" s="3" t="inlineStr">
        <is>
          <t>additive</t>
        </is>
      </c>
      <c r="D32" s="3" t="inlineStr">
        <is>
          <t>添加剂</t>
        </is>
      </c>
      <c r="E32" s="3" t="n">
        <v>1</v>
      </c>
      <c r="F32" s="3" t="inlineStr">
        <is>
          <t>添加剂</t>
        </is>
      </c>
      <c r="G32" s="3" t="inlineStr">
        <is>
          <t>添加剂浓度</t>
        </is>
      </c>
      <c r="H32" s="3" t="inlineStr">
        <is>
          <t>添加剂浓度_单位</t>
        </is>
      </c>
      <c r="I32" s="3" t="inlineStr">
        <is>
          <t>DOPC liposomes (OG-assisted)</t>
        </is>
      </c>
      <c r="J32" s="3" t="inlineStr">
        <is>
          <t>0.75</t>
        </is>
      </c>
      <c r="K32" s="3" t="inlineStr">
        <is>
          <t>mg/mL</t>
        </is>
      </c>
      <c r="L32" s="3" t="inlineStr">
        <is>
          <t>DOPC liposomes (OG-assisted)</t>
        </is>
      </c>
      <c r="M32" s="3" t="inlineStr">
        <is>
          <t>0.75</t>
        </is>
      </c>
      <c r="N32" s="3" t="inlineStr">
        <is>
          <t>mg/mL</t>
        </is>
      </c>
      <c r="O32" s="3" t="inlineStr">
        <is>
          <t>unknown</t>
        </is>
      </c>
      <c r="P32" s="3" t="inlineStr">
        <is>
          <t>unknown</t>
        </is>
      </c>
      <c r="Q32" s="3" t="inlineStr">
        <is>
          <t>unknown</t>
        </is>
      </c>
      <c r="R32" s="3" t="inlineStr">
        <is>
          <t>unknown</t>
        </is>
      </c>
      <c r="S32" s="3" t="inlineStr">
        <is>
          <t>NOT_PERCENT_UNIT</t>
        </is>
      </c>
      <c r="T32" s="3" t="inlineStr"/>
      <c r="U32" s="3" t="inlineStr">
        <is>
          <t>CANNOT_CONVERT</t>
        </is>
      </c>
      <c r="V32" s="3" t="inlineStr">
        <is>
          <t>Additive identity and phase unclear; conversion to wt% requires molecular weight and density not provided.</t>
        </is>
      </c>
      <c r="W32" s="3" t="inlineStr">
        <is>
          <t>DOPC liposomes (OG-assisted)</t>
        </is>
      </c>
      <c r="X32" s="3" t="inlineStr">
        <is>
          <t>0.75</t>
        </is>
      </c>
      <c r="Y32" s="3" t="inlineStr">
        <is>
          <t>mg/mL</t>
        </is>
      </c>
      <c r="Z32" s="4" t="inlineStr">
        <is>
          <t>DOPC liposomes (OG-assisted)</t>
        </is>
      </c>
      <c r="AA32" s="4" t="inlineStr">
        <is>
          <t>0.75</t>
        </is>
      </c>
      <c r="AB32" s="4" t="inlineStr">
        <is>
          <t>mg/mL</t>
        </is>
      </c>
      <c r="AC32" s="4" t="inlineStr">
        <is>
          <t>CANNOT_CONVERT</t>
        </is>
      </c>
      <c r="AD32" s="4" t="inlineStr">
        <is>
          <t>Additive identity and phase unclear; conversion to wt% requires molecular weight and density not provided.</t>
        </is>
      </c>
      <c r="AE32" s="3" t="n">
        <v>2</v>
      </c>
      <c r="AF32" s="3" t="inlineStr">
        <is>
          <t>LOW</t>
        </is>
      </c>
      <c r="AG32" s="3" t="b">
        <v>1</v>
      </c>
      <c r="AH32" s="3" t="inlineStr">
        <is>
          <t>SOLUTE_IDENTITY; PHASE_TYPE; SOLVENT_TYPE; MOLECULAR_WEIGHT; DENSITY</t>
        </is>
      </c>
    </row>
    <row r="33">
      <c r="A33" s="5" t="n">
        <v>5</v>
      </c>
      <c r="B33" s="5" t="inlineStr">
        <is>
          <t>MDOPC/OG</t>
        </is>
      </c>
      <c r="C33" s="5" t="inlineStr">
        <is>
          <t>aqueous_monomer</t>
        </is>
      </c>
      <c r="D33" s="5" t="inlineStr">
        <is>
          <t>水相单体</t>
        </is>
      </c>
      <c r="E33" s="5" t="n">
        <v>1</v>
      </c>
      <c r="F33" s="5" t="inlineStr">
        <is>
          <t>水相单体</t>
        </is>
      </c>
      <c r="G33" s="5" t="inlineStr">
        <is>
          <t>水相单体浓度</t>
        </is>
      </c>
      <c r="H33" s="5" t="inlineStr">
        <is>
          <t>水相单体浓度_单位</t>
        </is>
      </c>
      <c r="I33" s="5" t="inlineStr">
        <is>
          <t>MPD</t>
        </is>
      </c>
      <c r="J33" s="5" t="inlineStr">
        <is>
          <t>3.5</t>
        </is>
      </c>
      <c r="K33" s="5" t="inlineStr">
        <is>
          <t>wt%</t>
        </is>
      </c>
      <c r="L33" s="5" t="inlineStr">
        <is>
          <t>MPD</t>
        </is>
      </c>
      <c r="M33" s="5" t="inlineStr">
        <is>
          <t>3.5</t>
        </is>
      </c>
      <c r="N33" s="5" t="inlineStr">
        <is>
          <t>wt%</t>
        </is>
      </c>
      <c r="O33" s="5" t="inlineStr">
        <is>
          <t>aqueous</t>
        </is>
      </c>
      <c r="P33" s="5" t="inlineStr">
        <is>
          <t>column_hint</t>
        </is>
      </c>
      <c r="Q33" s="5" t="inlineStr">
        <is>
          <t>solid</t>
        </is>
      </c>
      <c r="R33" s="5" t="inlineStr">
        <is>
          <t>chemical_knowledge</t>
        </is>
      </c>
      <c r="S33" s="5" t="inlineStr">
        <is>
          <t>WT_PERCENT</t>
        </is>
      </c>
      <c r="T33" s="5" t="inlineStr">
        <is>
          <t>3.5</t>
        </is>
      </c>
      <c r="U33" s="5" t="inlineStr">
        <is>
          <t>DIRECT_WT</t>
        </is>
      </c>
      <c r="V33" s="5" t="inlineStr">
        <is>
          <t>Raw unit is wt%, directly indicating weight percent; solute MPD is from aqueous monomer column, phase is aqueous.</t>
        </is>
      </c>
      <c r="W33" s="5" t="inlineStr">
        <is>
          <t>MPD</t>
        </is>
      </c>
      <c r="X33" s="5" t="inlineStr">
        <is>
          <t>3.5</t>
        </is>
      </c>
      <c r="Y33" s="5" t="inlineStr">
        <is>
          <t>wt%</t>
        </is>
      </c>
      <c r="Z33" s="4" t="inlineStr">
        <is>
          <t>MPD</t>
        </is>
      </c>
      <c r="AA33" s="4" t="inlineStr">
        <is>
          <t>3.5</t>
        </is>
      </c>
      <c r="AB33" s="4" t="inlineStr">
        <is>
          <t>wt%</t>
        </is>
      </c>
      <c r="AC33" s="4" t="inlineStr">
        <is>
          <t>DIRECT_WT</t>
        </is>
      </c>
      <c r="AD33" s="4" t="inlineStr">
        <is>
          <t>Raw unit is wt%, directly indicating weight percent; solute MPD is from aqueous monomer column, phase is aqueous.</t>
        </is>
      </c>
      <c r="AE33" s="5" t="n">
        <v>0</v>
      </c>
      <c r="AF33" s="5" t="inlineStr">
        <is>
          <t>HIGH</t>
        </is>
      </c>
      <c r="AG33" s="5" t="b">
        <v>0</v>
      </c>
      <c r="AH33" s="5" t="inlineStr"/>
    </row>
    <row r="34">
      <c r="A34" s="3" t="n">
        <v>5</v>
      </c>
      <c r="B34" s="3" t="inlineStr">
        <is>
          <t>MDOPC/OG</t>
        </is>
      </c>
      <c r="C34" s="3" t="inlineStr">
        <is>
          <t>modifier</t>
        </is>
      </c>
      <c r="D34" s="3" t="inlineStr">
        <is>
          <t>改性剂</t>
        </is>
      </c>
      <c r="E34" s="3" t="n">
        <v>1</v>
      </c>
      <c r="F34" s="3" t="inlineStr">
        <is>
          <t>改性剂</t>
        </is>
      </c>
      <c r="G34" s="3" t="inlineStr">
        <is>
          <t>改性剂浓度</t>
        </is>
      </c>
      <c r="H34" s="3" t="inlineStr">
        <is>
          <t>改性剂浓度_单位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>
        <is>
          <t>unknown</t>
        </is>
      </c>
      <c r="P34" s="3" t="inlineStr">
        <is>
          <t>unknown</t>
        </is>
      </c>
      <c r="Q34" s="3" t="inlineStr">
        <is>
          <t>unknown</t>
        </is>
      </c>
      <c r="R34" s="3" t="inlineStr">
        <is>
          <t>unknown</t>
        </is>
      </c>
      <c r="S34" s="3" t="inlineStr">
        <is>
          <t>NOT_PERCENT_UNIT</t>
        </is>
      </c>
      <c r="T34" s="3" t="inlineStr"/>
      <c r="U34" s="3" t="inlineStr">
        <is>
          <t>FAILED_PARSE</t>
        </is>
      </c>
      <c r="V34" s="3" t="inlineStr">
        <is>
          <t>Modifier slot is empty with no raw data provided.</t>
        </is>
      </c>
      <c r="W34" s="3" t="inlineStr"/>
      <c r="X34" s="3" t="inlineStr"/>
      <c r="Y34" s="3" t="inlineStr"/>
      <c r="Z34" s="4" t="inlineStr"/>
      <c r="AA34" s="4" t="inlineStr"/>
      <c r="AB34" s="4" t="inlineStr"/>
      <c r="AC34" s="4" t="inlineStr">
        <is>
          <t>FAILED_PARSE</t>
        </is>
      </c>
      <c r="AD34" s="4" t="inlineStr">
        <is>
          <t>Modifier slot is empty with no raw data provided.</t>
        </is>
      </c>
      <c r="AE34" s="3" t="n">
        <v>2</v>
      </c>
      <c r="AF34" s="3" t="inlineStr">
        <is>
          <t>HIGH</t>
        </is>
      </c>
      <c r="AG34" s="3" t="b">
        <v>0</v>
      </c>
      <c r="AH34" s="3" t="inlineStr"/>
    </row>
    <row r="35">
      <c r="A35" s="5" t="n">
        <v>5</v>
      </c>
      <c r="B35" s="5" t="inlineStr">
        <is>
          <t>MDOPC/OG</t>
        </is>
      </c>
      <c r="C35" s="5" t="inlineStr">
        <is>
          <t>organic_monomer</t>
        </is>
      </c>
      <c r="D35" s="5" t="inlineStr">
        <is>
          <t>油相单体</t>
        </is>
      </c>
      <c r="E35" s="5" t="n">
        <v>1</v>
      </c>
      <c r="F35" s="5" t="inlineStr">
        <is>
          <t>油相单体</t>
        </is>
      </c>
      <c r="G35" s="5" t="inlineStr">
        <is>
          <t>油相单体浓度</t>
        </is>
      </c>
      <c r="H35" s="5" t="inlineStr">
        <is>
          <t>油相单体浓度_单位</t>
        </is>
      </c>
      <c r="I35" s="5" t="inlineStr">
        <is>
          <t>TMC</t>
        </is>
      </c>
      <c r="J35" s="5" t="inlineStr">
        <is>
          <t>0.2</t>
        </is>
      </c>
      <c r="K35" s="5" t="inlineStr">
        <is>
          <t>wt%</t>
        </is>
      </c>
      <c r="L35" s="5" t="inlineStr">
        <is>
          <t>TMC</t>
        </is>
      </c>
      <c r="M35" s="5" t="inlineStr">
        <is>
          <t>0.2</t>
        </is>
      </c>
      <c r="N35" s="5" t="inlineStr">
        <is>
          <t>wt%</t>
        </is>
      </c>
      <c r="O35" s="5" t="inlineStr">
        <is>
          <t>organic</t>
        </is>
      </c>
      <c r="P35" s="5" t="inlineStr">
        <is>
          <t>column_hint</t>
        </is>
      </c>
      <c r="Q35" s="5" t="inlineStr">
        <is>
          <t>solid</t>
        </is>
      </c>
      <c r="R35" s="5" t="inlineStr">
        <is>
          <t>chemical_knowledge</t>
        </is>
      </c>
      <c r="S35" s="5" t="inlineStr">
        <is>
          <t>WT_PERCENT</t>
        </is>
      </c>
      <c r="T35" s="5" t="inlineStr">
        <is>
          <t>0.2</t>
        </is>
      </c>
      <c r="U35" s="5" t="inlineStr">
        <is>
          <t>DIRECT_WT</t>
        </is>
      </c>
      <c r="V35" s="5" t="inlineStr">
        <is>
          <t>Raw unit is wt%, providing direct mass fraction.</t>
        </is>
      </c>
      <c r="W35" s="5" t="inlineStr">
        <is>
          <t>TMC</t>
        </is>
      </c>
      <c r="X35" s="5" t="inlineStr">
        <is>
          <t>0.2</t>
        </is>
      </c>
      <c r="Y35" s="5" t="inlineStr">
        <is>
          <t>wt%</t>
        </is>
      </c>
      <c r="Z35" s="4" t="inlineStr">
        <is>
          <t>TMC</t>
        </is>
      </c>
      <c r="AA35" s="4" t="inlineStr">
        <is>
          <t>0.2</t>
        </is>
      </c>
      <c r="AB35" s="4" t="inlineStr">
        <is>
          <t>wt%</t>
        </is>
      </c>
      <c r="AC35" s="4" t="inlineStr">
        <is>
          <t>DIRECT_WT</t>
        </is>
      </c>
      <c r="AD35" s="4" t="inlineStr">
        <is>
          <t>Raw unit is wt%, providing direct mass fraction.</t>
        </is>
      </c>
      <c r="AE35" s="5" t="n">
        <v>0</v>
      </c>
      <c r="AF35" s="5" t="inlineStr">
        <is>
          <t>HIGH</t>
        </is>
      </c>
      <c r="AG35" s="5" t="b">
        <v>0</v>
      </c>
      <c r="AH35" s="5" t="inlineStr"/>
    </row>
    <row r="36">
      <c r="A36" s="5" t="n">
        <v>5</v>
      </c>
      <c r="B36" s="5" t="inlineStr">
        <is>
          <t>MDOPC/OG</t>
        </is>
      </c>
      <c r="C36" s="5" t="inlineStr">
        <is>
          <t>test_nacl</t>
        </is>
      </c>
      <c r="D36" s="5" t="inlineStr">
        <is>
          <t>测试NaCl</t>
        </is>
      </c>
      <c r="E36" s="5" t="n">
        <v>1</v>
      </c>
      <c r="F36" s="5" t="inlineStr"/>
      <c r="G36" s="5" t="inlineStr">
        <is>
          <t>测试NaCl浓度</t>
        </is>
      </c>
      <c r="H36" s="5" t="inlineStr">
        <is>
          <t>测试NaCl浓度_单位</t>
        </is>
      </c>
      <c r="I36" s="5" t="inlineStr">
        <is>
          <t>NaCl</t>
        </is>
      </c>
      <c r="J36" s="5" t="inlineStr">
        <is>
          <t>35000.0</t>
        </is>
      </c>
      <c r="K36" s="5" t="inlineStr">
        <is>
          <t>ppm</t>
        </is>
      </c>
      <c r="L36" s="5" t="inlineStr">
        <is>
          <t>NaCl</t>
        </is>
      </c>
      <c r="M36" s="5" t="inlineStr">
        <is>
          <t>35000</t>
        </is>
      </c>
      <c r="N36" s="5" t="inlineStr">
        <is>
          <t>ppm</t>
        </is>
      </c>
      <c r="O36" s="5" t="inlineStr">
        <is>
          <t>test_aqueous</t>
        </is>
      </c>
      <c r="P36" s="5" t="inlineStr">
        <is>
          <t>column_hint</t>
        </is>
      </c>
      <c r="Q36" s="5" t="inlineStr">
        <is>
          <t>solid</t>
        </is>
      </c>
      <c r="R36" s="5" t="inlineStr">
        <is>
          <t>chemical_knowledge</t>
        </is>
      </c>
      <c r="S36" s="5" t="inlineStr">
        <is>
          <t>NOT_PERCENT_UNIT</t>
        </is>
      </c>
      <c r="T36" s="5" t="inlineStr">
        <is>
          <t>3.5</t>
        </is>
      </c>
      <c r="U36" s="5" t="inlineStr">
        <is>
          <t>SAFE_CONVERTED</t>
        </is>
      </c>
      <c r="V36" s="5" t="inlineStr">
        <is>
          <t>NaCl concentration in ppm can be safely converted to wt% for aqueous solutions.</t>
        </is>
      </c>
      <c r="W36" s="5" t="inlineStr">
        <is>
          <t>NaCl</t>
        </is>
      </c>
      <c r="X36" s="5" t="inlineStr">
        <is>
          <t>3.5</t>
        </is>
      </c>
      <c r="Y36" s="5" t="inlineStr">
        <is>
          <t>wt%</t>
        </is>
      </c>
      <c r="Z36" s="4" t="inlineStr">
        <is>
          <t>NaCl</t>
        </is>
      </c>
      <c r="AA36" s="4" t="inlineStr">
        <is>
          <t>3.5</t>
        </is>
      </c>
      <c r="AB36" s="4" t="inlineStr">
        <is>
          <t>wt%</t>
        </is>
      </c>
      <c r="AC36" s="4" t="inlineStr">
        <is>
          <t>SAFE_CONVERTED</t>
        </is>
      </c>
      <c r="AD36" s="4" t="inlineStr">
        <is>
          <t>NaCl concentration in ppm can be safely converted to wt% for aqueous solutions.</t>
        </is>
      </c>
      <c r="AE36" s="5" t="n">
        <v>0</v>
      </c>
      <c r="AF36" s="5" t="inlineStr">
        <is>
          <t>HIGH</t>
        </is>
      </c>
      <c r="AG36" s="5" t="b">
        <v>0</v>
      </c>
      <c r="AH36" s="5" t="inlineStr"/>
    </row>
    <row r="37">
      <c r="A37" s="3" t="n">
        <v>6</v>
      </c>
      <c r="B37" s="3" t="inlineStr">
        <is>
          <t>TFC-toluene</t>
        </is>
      </c>
      <c r="C37" s="3" t="inlineStr">
        <is>
          <t>additive</t>
        </is>
      </c>
      <c r="D37" s="3" t="inlineStr">
        <is>
          <t>添加剂</t>
        </is>
      </c>
      <c r="E37" s="3" t="n">
        <v>1</v>
      </c>
      <c r="F37" s="3" t="inlineStr">
        <is>
          <t>添加剂</t>
        </is>
      </c>
      <c r="G37" s="3" t="inlineStr">
        <is>
          <t>添加剂浓度</t>
        </is>
      </c>
      <c r="H37" s="3" t="inlineStr">
        <is>
          <t>添加剂浓度_单位</t>
        </is>
      </c>
      <c r="I37" s="3" t="inlineStr">
        <is>
          <t>toluene</t>
        </is>
      </c>
      <c r="J37" s="3" t="inlineStr">
        <is>
          <t>0.4</t>
        </is>
      </c>
      <c r="K37" s="3" t="inlineStr">
        <is>
          <t>v/v%</t>
        </is>
      </c>
      <c r="L37" s="3" t="inlineStr">
        <is>
          <t>toluene</t>
        </is>
      </c>
      <c r="M37" s="3" t="inlineStr">
        <is>
          <t>0.4</t>
        </is>
      </c>
      <c r="N37" s="3" t="inlineStr">
        <is>
          <t>v/v%</t>
        </is>
      </c>
      <c r="O37" s="3" t="inlineStr">
        <is>
          <t>organic</t>
        </is>
      </c>
      <c r="P37" s="3" t="inlineStr">
        <is>
          <t>row_context</t>
        </is>
      </c>
      <c r="Q37" s="3" t="inlineStr">
        <is>
          <t>liquid</t>
        </is>
      </c>
      <c r="R37" s="3" t="inlineStr">
        <is>
          <t>chemical_knowledge</t>
        </is>
      </c>
      <c r="S37" s="3" t="inlineStr">
        <is>
          <t>VOL_PERCENT</t>
        </is>
      </c>
      <c r="T37" s="3" t="inlineStr"/>
      <c r="U37" s="3" t="inlineStr">
        <is>
          <t>CANNOT_CONVERT</t>
        </is>
      </c>
      <c r="V37" s="3" t="inlineStr">
        <is>
          <t>Additive toluene is in organic phase with v/v% unit, conversion to wt% requires density not provided.</t>
        </is>
      </c>
      <c r="W37" s="3" t="inlineStr">
        <is>
          <t>toluene</t>
        </is>
      </c>
      <c r="X37" s="3" t="inlineStr">
        <is>
          <t>0.4</t>
        </is>
      </c>
      <c r="Y37" s="3" t="inlineStr">
        <is>
          <t>v/v%</t>
        </is>
      </c>
      <c r="Z37" s="4" t="inlineStr">
        <is>
          <t>toluene</t>
        </is>
      </c>
      <c r="AA37" s="4" t="inlineStr">
        <is>
          <t>0.4</t>
        </is>
      </c>
      <c r="AB37" s="4" t="inlineStr">
        <is>
          <t>v/v%</t>
        </is>
      </c>
      <c r="AC37" s="4" t="inlineStr">
        <is>
          <t>CANNOT_CONVERT</t>
        </is>
      </c>
      <c r="AD37" s="4" t="inlineStr">
        <is>
          <t>Additive toluene is in organic phase with v/v% unit, conversion to wt% requires density not provided.</t>
        </is>
      </c>
      <c r="AE37" s="3" t="n">
        <v>2</v>
      </c>
      <c r="AF37" s="3" t="inlineStr">
        <is>
          <t>HIGH</t>
        </is>
      </c>
      <c r="AG37" s="3" t="b">
        <v>0</v>
      </c>
      <c r="AH37" s="3" t="inlineStr"/>
    </row>
    <row r="38">
      <c r="A38" s="5" t="n">
        <v>6</v>
      </c>
      <c r="B38" s="5" t="inlineStr">
        <is>
          <t>TFC-toluene</t>
        </is>
      </c>
      <c r="C38" s="5" t="inlineStr">
        <is>
          <t>aqueous_monomer</t>
        </is>
      </c>
      <c r="D38" s="5" t="inlineStr">
        <is>
          <t>水相单体</t>
        </is>
      </c>
      <c r="E38" s="5" t="n">
        <v>1</v>
      </c>
      <c r="F38" s="5" t="inlineStr">
        <is>
          <t>水相单体</t>
        </is>
      </c>
      <c r="G38" s="5" t="inlineStr">
        <is>
          <t>水相单体浓度</t>
        </is>
      </c>
      <c r="H38" s="5" t="inlineStr">
        <is>
          <t>水相单体浓度_单位</t>
        </is>
      </c>
      <c r="I38" s="5" t="inlineStr">
        <is>
          <t>MPD</t>
        </is>
      </c>
      <c r="J38" s="5" t="inlineStr">
        <is>
          <t>2.0</t>
        </is>
      </c>
      <c r="K38" s="5" t="inlineStr">
        <is>
          <t>w/w%</t>
        </is>
      </c>
      <c r="L38" s="5" t="inlineStr">
        <is>
          <t>MPD</t>
        </is>
      </c>
      <c r="M38" s="5" t="inlineStr">
        <is>
          <t>2</t>
        </is>
      </c>
      <c r="N38" s="5" t="inlineStr">
        <is>
          <t>w/w%</t>
        </is>
      </c>
      <c r="O38" s="5" t="inlineStr">
        <is>
          <t>aqueous</t>
        </is>
      </c>
      <c r="P38" s="5" t="inlineStr">
        <is>
          <t>column_hint</t>
        </is>
      </c>
      <c r="Q38" s="5" t="inlineStr">
        <is>
          <t>solid</t>
        </is>
      </c>
      <c r="R38" s="5" t="inlineStr">
        <is>
          <t>chemical_knowledge</t>
        </is>
      </c>
      <c r="S38" s="5" t="inlineStr">
        <is>
          <t>WT_PERCENT</t>
        </is>
      </c>
      <c r="T38" s="5" t="inlineStr">
        <is>
          <t>2</t>
        </is>
      </c>
      <c r="U38" s="5" t="inlineStr">
        <is>
          <t>DIRECT_WT</t>
        </is>
      </c>
      <c r="V38" s="5" t="inlineStr">
        <is>
          <t>Raw unit w/w% clearly indicates weight percent, and solute MPD is explicitly given in the aqueous monomer column.</t>
        </is>
      </c>
      <c r="W38" s="5" t="inlineStr">
        <is>
          <t>MPD</t>
        </is>
      </c>
      <c r="X38" s="5" t="inlineStr">
        <is>
          <t>2</t>
        </is>
      </c>
      <c r="Y38" s="5" t="inlineStr">
        <is>
          <t>wt%</t>
        </is>
      </c>
      <c r="Z38" s="4" t="inlineStr">
        <is>
          <t>MPD</t>
        </is>
      </c>
      <c r="AA38" s="4" t="inlineStr">
        <is>
          <t>2</t>
        </is>
      </c>
      <c r="AB38" s="4" t="inlineStr">
        <is>
          <t>wt%</t>
        </is>
      </c>
      <c r="AC38" s="4" t="inlineStr">
        <is>
          <t>DIRECT_WT</t>
        </is>
      </c>
      <c r="AD38" s="4" t="inlineStr">
        <is>
          <t>Raw unit w/w% clearly indicates weight percent, and solute MPD is explicitly given in the aqueous monomer column.</t>
        </is>
      </c>
      <c r="AE38" s="5" t="n">
        <v>0</v>
      </c>
      <c r="AF38" s="5" t="inlineStr">
        <is>
          <t>HIGH</t>
        </is>
      </c>
      <c r="AG38" s="5" t="b">
        <v>0</v>
      </c>
      <c r="AH38" s="5" t="inlineStr"/>
    </row>
    <row r="39">
      <c r="A39" s="3" t="n">
        <v>6</v>
      </c>
      <c r="B39" s="3" t="inlineStr">
        <is>
          <t>TFC-toluene</t>
        </is>
      </c>
      <c r="C39" s="3" t="inlineStr">
        <is>
          <t>modifier</t>
        </is>
      </c>
      <c r="D39" s="3" t="inlineStr">
        <is>
          <t>改性剂</t>
        </is>
      </c>
      <c r="E39" s="3" t="n">
        <v>1</v>
      </c>
      <c r="F39" s="3" t="inlineStr">
        <is>
          <t>改性剂</t>
        </is>
      </c>
      <c r="G39" s="3" t="inlineStr">
        <is>
          <t>改性剂浓度</t>
        </is>
      </c>
      <c r="H39" s="3" t="inlineStr">
        <is>
          <t>改性剂浓度_单位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unknown</t>
        </is>
      </c>
      <c r="P39" s="3" t="inlineStr">
        <is>
          <t>unknown</t>
        </is>
      </c>
      <c r="Q39" s="3" t="inlineStr">
        <is>
          <t>unknown</t>
        </is>
      </c>
      <c r="R39" s="3" t="inlineStr">
        <is>
          <t>unknown</t>
        </is>
      </c>
      <c r="S39" s="3" t="inlineStr">
        <is>
          <t>NOT_PERCENT_UNIT</t>
        </is>
      </c>
      <c r="T39" s="3" t="inlineStr"/>
      <c r="U39" s="3" t="inlineStr">
        <is>
          <t>FAILED_PARSE</t>
        </is>
      </c>
      <c r="V39" s="3" t="inlineStr">
        <is>
          <t>No data provided for modifier slot.</t>
        </is>
      </c>
      <c r="W39" s="3" t="inlineStr"/>
      <c r="X39" s="3" t="inlineStr"/>
      <c r="Y39" s="3" t="inlineStr"/>
      <c r="Z39" s="4" t="inlineStr"/>
      <c r="AA39" s="4" t="inlineStr"/>
      <c r="AB39" s="4" t="inlineStr"/>
      <c r="AC39" s="4" t="inlineStr">
        <is>
          <t>FAILED_PARSE</t>
        </is>
      </c>
      <c r="AD39" s="4" t="inlineStr">
        <is>
          <t>No data provided for modifier slot.</t>
        </is>
      </c>
      <c r="AE39" s="3" t="n">
        <v>2</v>
      </c>
      <c r="AF39" s="3" t="inlineStr">
        <is>
          <t>HIGH</t>
        </is>
      </c>
      <c r="AG39" s="3" t="b">
        <v>0</v>
      </c>
      <c r="AH39" s="3" t="inlineStr"/>
    </row>
    <row r="40">
      <c r="A40" s="5" t="n">
        <v>6</v>
      </c>
      <c r="B40" s="5" t="inlineStr">
        <is>
          <t>TFC-toluene</t>
        </is>
      </c>
      <c r="C40" s="5" t="inlineStr">
        <is>
          <t>organic_monomer</t>
        </is>
      </c>
      <c r="D40" s="5" t="inlineStr">
        <is>
          <t>油相单体</t>
        </is>
      </c>
      <c r="E40" s="5" t="n">
        <v>1</v>
      </c>
      <c r="F40" s="5" t="inlineStr">
        <is>
          <t>油相单体</t>
        </is>
      </c>
      <c r="G40" s="5" t="inlineStr">
        <is>
          <t>油相单体浓度</t>
        </is>
      </c>
      <c r="H40" s="5" t="inlineStr">
        <is>
          <t>油相单体浓度_单位</t>
        </is>
      </c>
      <c r="I40" s="5" t="inlineStr">
        <is>
          <t>TMC</t>
        </is>
      </c>
      <c r="J40" s="5" t="inlineStr">
        <is>
          <t>0.1</t>
        </is>
      </c>
      <c r="K40" s="5" t="inlineStr">
        <is>
          <t>w/w%</t>
        </is>
      </c>
      <c r="L40" s="5" t="inlineStr">
        <is>
          <t>TMC</t>
        </is>
      </c>
      <c r="M40" s="5" t="inlineStr">
        <is>
          <t>0.1</t>
        </is>
      </c>
      <c r="N40" s="5" t="inlineStr">
        <is>
          <t>w/w%</t>
        </is>
      </c>
      <c r="O40" s="5" t="inlineStr">
        <is>
          <t>organic</t>
        </is>
      </c>
      <c r="P40" s="5" t="inlineStr">
        <is>
          <t>column_hint</t>
        </is>
      </c>
      <c r="Q40" s="5" t="inlineStr">
        <is>
          <t>solid</t>
        </is>
      </c>
      <c r="R40" s="5" t="inlineStr">
        <is>
          <t>chemical_knowledge</t>
        </is>
      </c>
      <c r="S40" s="5" t="inlineStr">
        <is>
          <t>WT_PERCENT</t>
        </is>
      </c>
      <c r="T40" s="5" t="inlineStr">
        <is>
          <t>0.1</t>
        </is>
      </c>
      <c r="U40" s="5" t="inlineStr">
        <is>
          <t>DIRECT_WT</t>
        </is>
      </c>
      <c r="V40" s="5" t="inlineStr">
        <is>
          <t>Raw unit 'w/w%' clearly indicates weight percent, solute TMC from organic monomer column, phase organic from column hint, solvent n-hexane from row context.</t>
        </is>
      </c>
      <c r="W40" s="5" t="inlineStr">
        <is>
          <t>TMC</t>
        </is>
      </c>
      <c r="X40" s="5" t="inlineStr">
        <is>
          <t>0.1</t>
        </is>
      </c>
      <c r="Y40" s="5" t="inlineStr">
        <is>
          <t>wt%</t>
        </is>
      </c>
      <c r="Z40" s="4" t="inlineStr">
        <is>
          <t>TMC</t>
        </is>
      </c>
      <c r="AA40" s="4" t="inlineStr">
        <is>
          <t>0.1</t>
        </is>
      </c>
      <c r="AB40" s="4" t="inlineStr">
        <is>
          <t>wt%</t>
        </is>
      </c>
      <c r="AC40" s="4" t="inlineStr">
        <is>
          <t>DIRECT_WT</t>
        </is>
      </c>
      <c r="AD40" s="4" t="inlineStr">
        <is>
          <t>Raw unit 'w/w%' clearly indicates weight percent, solute TMC from organic monomer column, phase organic from column hint, solvent n-hexane from row context.</t>
        </is>
      </c>
      <c r="AE40" s="5" t="n">
        <v>0</v>
      </c>
      <c r="AF40" s="5" t="inlineStr">
        <is>
          <t>HIGH</t>
        </is>
      </c>
      <c r="AG40" s="5" t="b">
        <v>0</v>
      </c>
      <c r="AH40" s="5" t="inlineStr"/>
    </row>
    <row r="41">
      <c r="A41" s="5" t="n">
        <v>6</v>
      </c>
      <c r="B41" s="5" t="inlineStr">
        <is>
          <t>TFC-toluene</t>
        </is>
      </c>
      <c r="C41" s="5" t="inlineStr">
        <is>
          <t>test_nacl</t>
        </is>
      </c>
      <c r="D41" s="5" t="inlineStr">
        <is>
          <t>测试NaCl</t>
        </is>
      </c>
      <c r="E41" s="5" t="n">
        <v>1</v>
      </c>
      <c r="F41" s="5" t="inlineStr"/>
      <c r="G41" s="5" t="inlineStr">
        <is>
          <t>测试NaCl浓度</t>
        </is>
      </c>
      <c r="H41" s="5" t="inlineStr">
        <is>
          <t>测试NaCl浓度_单位</t>
        </is>
      </c>
      <c r="I41" s="5" t="inlineStr">
        <is>
          <t>NaCl</t>
        </is>
      </c>
      <c r="J41" s="5" t="inlineStr">
        <is>
          <t>2000.0</t>
        </is>
      </c>
      <c r="K41" s="5" t="inlineStr">
        <is>
          <t>ppm</t>
        </is>
      </c>
      <c r="L41" s="5" t="inlineStr">
        <is>
          <t>NaCl</t>
        </is>
      </c>
      <c r="M41" s="5" t="inlineStr">
        <is>
          <t>2000</t>
        </is>
      </c>
      <c r="N41" s="5" t="inlineStr">
        <is>
          <t>ppm</t>
        </is>
      </c>
      <c r="O41" s="5" t="inlineStr">
        <is>
          <t>test_aqueous</t>
        </is>
      </c>
      <c r="P41" s="5" t="inlineStr">
        <is>
          <t>column_hint</t>
        </is>
      </c>
      <c r="Q41" s="5" t="inlineStr">
        <is>
          <t>solid</t>
        </is>
      </c>
      <c r="R41" s="5" t="inlineStr">
        <is>
          <t>chemical_knowledge</t>
        </is>
      </c>
      <c r="S41" s="5" t="inlineStr">
        <is>
          <t>NOT_PERCENT_UNIT</t>
        </is>
      </c>
      <c r="T41" s="5" t="inlineStr">
        <is>
          <t>0.2</t>
        </is>
      </c>
      <c r="U41" s="5" t="inlineStr">
        <is>
          <t>SAFE_CONVERTED</t>
        </is>
      </c>
      <c r="V41" s="5" t="inlineStr">
        <is>
          <t>NaCl concentration in ppm can be safely converted to wt% for aqueous solutions.</t>
        </is>
      </c>
      <c r="W41" s="5" t="inlineStr">
        <is>
          <t>NaCl</t>
        </is>
      </c>
      <c r="X41" s="5" t="inlineStr">
        <is>
          <t>0.2</t>
        </is>
      </c>
      <c r="Y41" s="5" t="inlineStr">
        <is>
          <t>wt%</t>
        </is>
      </c>
      <c r="Z41" s="4" t="inlineStr">
        <is>
          <t>NaCl</t>
        </is>
      </c>
      <c r="AA41" s="4" t="inlineStr">
        <is>
          <t>0.2</t>
        </is>
      </c>
      <c r="AB41" s="4" t="inlineStr">
        <is>
          <t>wt%</t>
        </is>
      </c>
      <c r="AC41" s="4" t="inlineStr">
        <is>
          <t>SAFE_CONVERTED</t>
        </is>
      </c>
      <c r="AD41" s="4" t="inlineStr">
        <is>
          <t>NaCl concentration in ppm can be safely converted to wt% for aqueous solutions.</t>
        </is>
      </c>
      <c r="AE41" s="5" t="n">
        <v>0</v>
      </c>
      <c r="AF41" s="5" t="inlineStr">
        <is>
          <t>HIGH</t>
        </is>
      </c>
      <c r="AG41" s="5" t="b">
        <v>0</v>
      </c>
      <c r="AH41" s="5" t="inlineStr"/>
    </row>
    <row r="42">
      <c r="A42" s="3" t="n">
        <v>7</v>
      </c>
      <c r="B42" s="3" t="inlineStr">
        <is>
          <t>PVA-PVS-Stirred-NaCl-10mM-5bar</t>
        </is>
      </c>
      <c r="C42" s="3" t="inlineStr">
        <is>
          <t>additive</t>
        </is>
      </c>
      <c r="D42" s="3" t="inlineStr">
        <is>
          <t>添加剂</t>
        </is>
      </c>
      <c r="E42" s="3" t="n">
        <v>1</v>
      </c>
      <c r="F42" s="3" t="inlineStr">
        <is>
          <t>添加剂</t>
        </is>
      </c>
      <c r="G42" s="3" t="inlineStr">
        <is>
          <t>添加剂浓度</t>
        </is>
      </c>
      <c r="H42" s="3" t="inlineStr">
        <is>
          <t>添加剂浓度_单位</t>
        </is>
      </c>
      <c r="I42" s="3" t="inlineStr">
        <is>
          <t>NaCl</t>
        </is>
      </c>
      <c r="J42" s="3" t="inlineStr">
        <is>
          <t>1</t>
        </is>
      </c>
      <c r="K42" s="3" t="inlineStr">
        <is>
          <t>M</t>
        </is>
      </c>
      <c r="L42" s="3" t="inlineStr">
        <is>
          <t>NaCl</t>
        </is>
      </c>
      <c r="M42" s="3" t="inlineStr">
        <is>
          <t>1</t>
        </is>
      </c>
      <c r="N42" s="3" t="inlineStr">
        <is>
          <t>M</t>
        </is>
      </c>
      <c r="O42" s="3" t="inlineStr">
        <is>
          <t>aqueous</t>
        </is>
      </c>
      <c r="P42" s="3" t="inlineStr">
        <is>
          <t>row_context</t>
        </is>
      </c>
      <c r="Q42" s="3" t="inlineStr">
        <is>
          <t>solid</t>
        </is>
      </c>
      <c r="R42" s="3" t="inlineStr">
        <is>
          <t>chemical_knowledge</t>
        </is>
      </c>
      <c r="S42" s="3" t="inlineStr">
        <is>
          <t>NOT_PERCENT_UNIT</t>
        </is>
      </c>
      <c r="T42" s="3" t="inlineStr"/>
      <c r="U42" s="3" t="inlineStr">
        <is>
          <t>CANNOT_CONVERT</t>
        </is>
      </c>
      <c r="V42" s="3" t="inlineStr">
        <is>
          <t>NaCl additive concentration is 1 M, which is molarity and cannot be converted to wt% without molecular weight and density information.</t>
        </is>
      </c>
      <c r="W42" s="3" t="inlineStr">
        <is>
          <t>NaCl</t>
        </is>
      </c>
      <c r="X42" s="3" t="inlineStr">
        <is>
          <t>1</t>
        </is>
      </c>
      <c r="Y42" s="3" t="inlineStr">
        <is>
          <t>M</t>
        </is>
      </c>
      <c r="Z42" s="4" t="inlineStr">
        <is>
          <t>NaCl</t>
        </is>
      </c>
      <c r="AA42" s="4" t="inlineStr">
        <is>
          <t>1</t>
        </is>
      </c>
      <c r="AB42" s="4" t="inlineStr">
        <is>
          <t>M</t>
        </is>
      </c>
      <c r="AC42" s="4" t="inlineStr">
        <is>
          <t>CANNOT_CONVERT</t>
        </is>
      </c>
      <c r="AD42" s="4" t="inlineStr">
        <is>
          <t>NaCl additive concentration is 1 M, which is molarity and cannot be converted to wt% without molecular weight and density information.</t>
        </is>
      </c>
      <c r="AE42" s="3" t="n">
        <v>2</v>
      </c>
      <c r="AF42" s="3" t="inlineStr">
        <is>
          <t>HIGH</t>
        </is>
      </c>
      <c r="AG42" s="3" t="b">
        <v>0</v>
      </c>
      <c r="AH42" s="3" t="inlineStr"/>
    </row>
    <row r="43">
      <c r="A43" s="3" t="n">
        <v>7</v>
      </c>
      <c r="B43" s="3" t="inlineStr">
        <is>
          <t>PVA-PVS-Stirred-NaCl-10mM-5bar</t>
        </is>
      </c>
      <c r="C43" s="3" t="inlineStr">
        <is>
          <t>aqueous_monomer</t>
        </is>
      </c>
      <c r="D43" s="3" t="inlineStr">
        <is>
          <t>水相单体</t>
        </is>
      </c>
      <c r="E43" s="3" t="n">
        <v>1</v>
      </c>
      <c r="F43" s="3" t="inlineStr">
        <is>
          <t>水相单体</t>
        </is>
      </c>
      <c r="G43" s="3" t="inlineStr">
        <is>
          <t>水相单体浓度</t>
        </is>
      </c>
      <c r="H43" s="3" t="inlineStr">
        <is>
          <t>水相单体浓度_单位</t>
        </is>
      </c>
      <c r="I43" s="3" t="inlineStr">
        <is>
          <t>PVA</t>
        </is>
      </c>
      <c r="J43" s="3" t="inlineStr">
        <is>
          <t>0.01</t>
        </is>
      </c>
      <c r="K43" s="3" t="inlineStr">
        <is>
          <t>monomoles/L</t>
        </is>
      </c>
      <c r="L43" s="3" t="inlineStr">
        <is>
          <t>PVA</t>
        </is>
      </c>
      <c r="M43" s="3" t="inlineStr">
        <is>
          <t>0.01</t>
        </is>
      </c>
      <c r="N43" s="3" t="inlineStr">
        <is>
          <t>monomoles/L</t>
        </is>
      </c>
      <c r="O43" s="3" t="inlineStr">
        <is>
          <t>aqueous</t>
        </is>
      </c>
      <c r="P43" s="3" t="inlineStr">
        <is>
          <t>column_hint</t>
        </is>
      </c>
      <c r="Q43" s="3" t="inlineStr">
        <is>
          <t>solid</t>
        </is>
      </c>
      <c r="R43" s="3" t="inlineStr">
        <is>
          <t>chemical_knowledge</t>
        </is>
      </c>
      <c r="S43" s="3" t="inlineStr">
        <is>
          <t>NOT_PERCENT_UNIT</t>
        </is>
      </c>
      <c r="T43" s="3" t="inlineStr"/>
      <c r="U43" s="3" t="inlineStr">
        <is>
          <t>CANNOT_CONVERT</t>
        </is>
      </c>
      <c r="V43" s="3" t="inlineStr">
        <is>
          <t>Unit 'monomoles/L' is not a mass fraction unit and conversion requires molecular weight and density not provided in context.</t>
        </is>
      </c>
      <c r="W43" s="3" t="inlineStr">
        <is>
          <t>PVA</t>
        </is>
      </c>
      <c r="X43" s="3" t="inlineStr">
        <is>
          <t>0.01</t>
        </is>
      </c>
      <c r="Y43" s="3" t="inlineStr">
        <is>
          <t>monomoles/L</t>
        </is>
      </c>
      <c r="Z43" s="4" t="inlineStr">
        <is>
          <t>PVA</t>
        </is>
      </c>
      <c r="AA43" s="4" t="inlineStr">
        <is>
          <t>0.01</t>
        </is>
      </c>
      <c r="AB43" s="4" t="inlineStr">
        <is>
          <t>monomoles/L</t>
        </is>
      </c>
      <c r="AC43" s="4" t="inlineStr">
        <is>
          <t>CANNOT_CONVERT</t>
        </is>
      </c>
      <c r="AD43" s="4" t="inlineStr">
        <is>
          <t>Unit 'monomoles/L' is not a mass fraction unit and conversion requires molecular weight and density not provided in context.</t>
        </is>
      </c>
      <c r="AE43" s="3" t="n">
        <v>2</v>
      </c>
      <c r="AF43" s="3" t="inlineStr">
        <is>
          <t>HIGH</t>
        </is>
      </c>
      <c r="AG43" s="3" t="b">
        <v>0</v>
      </c>
      <c r="AH43" s="3" t="inlineStr"/>
    </row>
    <row r="44">
      <c r="A44" s="3" t="n">
        <v>7</v>
      </c>
      <c r="B44" s="3" t="inlineStr">
        <is>
          <t>PVA-PVS-Stirred-NaCl-10mM-5bar</t>
        </is>
      </c>
      <c r="C44" s="3" t="inlineStr">
        <is>
          <t>modifier</t>
        </is>
      </c>
      <c r="D44" s="3" t="inlineStr">
        <is>
          <t>改性剂</t>
        </is>
      </c>
      <c r="E44" s="3" t="n">
        <v>1</v>
      </c>
      <c r="F44" s="3" t="inlineStr">
        <is>
          <t>改性剂</t>
        </is>
      </c>
      <c r="G44" s="3" t="inlineStr">
        <is>
          <t>改性剂浓度</t>
        </is>
      </c>
      <c r="H44" s="3" t="inlineStr">
        <is>
          <t>改性剂浓度_单位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>
        <is>
          <t>unknown</t>
        </is>
      </c>
      <c r="P44" s="3" t="inlineStr">
        <is>
          <t>unknown</t>
        </is>
      </c>
      <c r="Q44" s="3" t="inlineStr">
        <is>
          <t>unknown</t>
        </is>
      </c>
      <c r="R44" s="3" t="inlineStr">
        <is>
          <t>unknown</t>
        </is>
      </c>
      <c r="S44" s="3" t="inlineStr">
        <is>
          <t>NOT_PERCENT_UNIT</t>
        </is>
      </c>
      <c r="T44" s="3" t="inlineStr"/>
      <c r="U44" s="3" t="inlineStr">
        <is>
          <t>FAILED_PARSE</t>
        </is>
      </c>
      <c r="V44" s="3" t="inlineStr">
        <is>
          <t>Modifier slot is empty with no raw data provided.</t>
        </is>
      </c>
      <c r="W44" s="3" t="inlineStr"/>
      <c r="X44" s="3" t="inlineStr"/>
      <c r="Y44" s="3" t="inlineStr"/>
      <c r="Z44" s="4" t="inlineStr"/>
      <c r="AA44" s="4" t="inlineStr"/>
      <c r="AB44" s="4" t="inlineStr"/>
      <c r="AC44" s="4" t="inlineStr">
        <is>
          <t>FAILED_PARSE</t>
        </is>
      </c>
      <c r="AD44" s="4" t="inlineStr">
        <is>
          <t>Modifier slot is empty with no raw data provided.</t>
        </is>
      </c>
      <c r="AE44" s="3" t="n">
        <v>2</v>
      </c>
      <c r="AF44" s="3" t="inlineStr">
        <is>
          <t>HIGH</t>
        </is>
      </c>
      <c r="AG44" s="3" t="b">
        <v>0</v>
      </c>
      <c r="AH44" s="3" t="inlineStr"/>
    </row>
    <row r="45">
      <c r="A45" s="3" t="n">
        <v>7</v>
      </c>
      <c r="B45" s="3" t="inlineStr">
        <is>
          <t>PVA-PVS-Stirred-NaCl-10mM-5bar</t>
        </is>
      </c>
      <c r="C45" s="3" t="inlineStr">
        <is>
          <t>organic_monomer</t>
        </is>
      </c>
      <c r="D45" s="3" t="inlineStr">
        <is>
          <t>油相单体</t>
        </is>
      </c>
      <c r="E45" s="3" t="n">
        <v>1</v>
      </c>
      <c r="F45" s="3" t="inlineStr">
        <is>
          <t>油相单体</t>
        </is>
      </c>
      <c r="G45" s="3" t="inlineStr">
        <is>
          <t>油相单体浓度</t>
        </is>
      </c>
      <c r="H45" s="3" t="inlineStr">
        <is>
          <t>油相单体浓度_单位</t>
        </is>
      </c>
      <c r="I45" s="3" t="inlineStr">
        <is>
          <t>PVS</t>
        </is>
      </c>
      <c r="J45" s="3" t="inlineStr">
        <is>
          <t>0.01</t>
        </is>
      </c>
      <c r="K45" s="3" t="inlineStr">
        <is>
          <t>monomoles/L</t>
        </is>
      </c>
      <c r="L45" s="3" t="inlineStr">
        <is>
          <t>PVS</t>
        </is>
      </c>
      <c r="M45" s="3" t="inlineStr">
        <is>
          <t>0.01</t>
        </is>
      </c>
      <c r="N45" s="3" t="inlineStr">
        <is>
          <t>monomoles/L</t>
        </is>
      </c>
      <c r="O45" s="3" t="inlineStr">
        <is>
          <t>organic</t>
        </is>
      </c>
      <c r="P45" s="3" t="inlineStr">
        <is>
          <t>column_hint</t>
        </is>
      </c>
      <c r="Q45" s="3" t="inlineStr">
        <is>
          <t>unknown</t>
        </is>
      </c>
      <c r="R45" s="3" t="inlineStr">
        <is>
          <t>unknown</t>
        </is>
      </c>
      <c r="S45" s="3" t="inlineStr">
        <is>
          <t>NOT_PERCENT_UNIT</t>
        </is>
      </c>
      <c r="T45" s="3" t="inlineStr"/>
      <c r="U45" s="3" t="inlineStr">
        <is>
          <t>CANNOT_CONVERT</t>
        </is>
      </c>
      <c r="V45" s="3" t="inlineStr">
        <is>
          <t>Unit is monomoles/L, not a percent unit; conversion to wt% requires molecular weight not provided.</t>
        </is>
      </c>
      <c r="W45" s="3" t="inlineStr">
        <is>
          <t>PVS</t>
        </is>
      </c>
      <c r="X45" s="3" t="inlineStr">
        <is>
          <t>0.01</t>
        </is>
      </c>
      <c r="Y45" s="3" t="inlineStr">
        <is>
          <t>monomoles/L</t>
        </is>
      </c>
      <c r="Z45" s="4" t="inlineStr">
        <is>
          <t>PVS</t>
        </is>
      </c>
      <c r="AA45" s="4" t="inlineStr">
        <is>
          <t>0.01</t>
        </is>
      </c>
      <c r="AB45" s="4" t="inlineStr">
        <is>
          <t>monomoles/L</t>
        </is>
      </c>
      <c r="AC45" s="4" t="inlineStr">
        <is>
          <t>CANNOT_CONVERT</t>
        </is>
      </c>
      <c r="AD45" s="4" t="inlineStr">
        <is>
          <t>Unit is monomoles/L, not a percent unit; conversion to wt% requires molecular weight not provided.</t>
        </is>
      </c>
      <c r="AE45" s="3" t="n">
        <v>2</v>
      </c>
      <c r="AF45" s="3" t="inlineStr">
        <is>
          <t>HIGH</t>
        </is>
      </c>
      <c r="AG45" s="3" t="b">
        <v>0</v>
      </c>
      <c r="AH45" s="3" t="inlineStr"/>
    </row>
    <row r="46">
      <c r="A46" s="3" t="n">
        <v>7</v>
      </c>
      <c r="B46" s="3" t="inlineStr">
        <is>
          <t>PVA-PVS-Stirred-NaCl-10mM-5bar</t>
        </is>
      </c>
      <c r="C46" s="3" t="inlineStr">
        <is>
          <t>test_nacl</t>
        </is>
      </c>
      <c r="D46" s="3" t="inlineStr">
        <is>
          <t>测试NaCl</t>
        </is>
      </c>
      <c r="E46" s="3" t="n">
        <v>1</v>
      </c>
      <c r="F46" s="3" t="inlineStr"/>
      <c r="G46" s="3" t="inlineStr">
        <is>
          <t>测试NaCl浓度</t>
        </is>
      </c>
      <c r="H46" s="3" t="inlineStr">
        <is>
          <t>测试NaCl浓度_单位</t>
        </is>
      </c>
      <c r="I46" s="3" t="inlineStr">
        <is>
          <t>NaCl</t>
        </is>
      </c>
      <c r="J46" s="3" t="inlineStr">
        <is>
          <t>10.0</t>
        </is>
      </c>
      <c r="K46" s="3" t="inlineStr">
        <is>
          <t>mM</t>
        </is>
      </c>
      <c r="L46" s="3" t="inlineStr">
        <is>
          <t>NaCl</t>
        </is>
      </c>
      <c r="M46" s="3" t="inlineStr">
        <is>
          <t>10</t>
        </is>
      </c>
      <c r="N46" s="3" t="inlineStr">
        <is>
          <t>mM</t>
        </is>
      </c>
      <c r="O46" s="3" t="inlineStr">
        <is>
          <t>test_aqueous</t>
        </is>
      </c>
      <c r="P46" s="3" t="inlineStr">
        <is>
          <t>column_hint</t>
        </is>
      </c>
      <c r="Q46" s="3" t="inlineStr">
        <is>
          <t>solid</t>
        </is>
      </c>
      <c r="R46" s="3" t="inlineStr">
        <is>
          <t>chemical_knowledge</t>
        </is>
      </c>
      <c r="S46" s="3" t="inlineStr">
        <is>
          <t>NOT_PERCENT_UNIT</t>
        </is>
      </c>
      <c r="T46" s="3" t="inlineStr"/>
      <c r="U46" s="3" t="inlineStr">
        <is>
          <t>CANNOT_CONVERT</t>
        </is>
      </c>
      <c r="V46" s="3" t="inlineStr">
        <is>
          <t>NaCl concentration in mM is clear, but conversion to wt% requires molecular weight and density not provided in context.</t>
        </is>
      </c>
      <c r="W46" s="3" t="inlineStr">
        <is>
          <t>NaCl</t>
        </is>
      </c>
      <c r="X46" s="3" t="inlineStr">
        <is>
          <t>10</t>
        </is>
      </c>
      <c r="Y46" s="3" t="inlineStr">
        <is>
          <t>mM</t>
        </is>
      </c>
      <c r="Z46" s="4" t="inlineStr">
        <is>
          <t>NaCl</t>
        </is>
      </c>
      <c r="AA46" s="4" t="inlineStr">
        <is>
          <t>10</t>
        </is>
      </c>
      <c r="AB46" s="4" t="inlineStr">
        <is>
          <t>mM</t>
        </is>
      </c>
      <c r="AC46" s="4" t="inlineStr">
        <is>
          <t>CANNOT_CONVERT</t>
        </is>
      </c>
      <c r="AD46" s="4" t="inlineStr">
        <is>
          <t>NaCl concentration in mM is clear, but conversion to wt% requires molecular weight and density not provided in context.</t>
        </is>
      </c>
      <c r="AE46" s="3" t="n">
        <v>2</v>
      </c>
      <c r="AF46" s="3" t="inlineStr">
        <is>
          <t>HIGH</t>
        </is>
      </c>
      <c r="AG46" s="3" t="b">
        <v>0</v>
      </c>
      <c r="AH46" s="3" t="inlineStr"/>
    </row>
    <row r="47">
      <c r="A47" s="3" t="n">
        <v>8</v>
      </c>
      <c r="B47" s="3" t="inlineStr">
        <is>
          <t>Lysozyme-immobilized Polyamide RO membrane</t>
        </is>
      </c>
      <c r="C47" s="3" t="inlineStr">
        <is>
          <t>additive</t>
        </is>
      </c>
      <c r="D47" s="3" t="inlineStr">
        <is>
          <t>添加剂</t>
        </is>
      </c>
      <c r="E47" s="3" t="n">
        <v>1</v>
      </c>
      <c r="F47" s="3" t="inlineStr">
        <is>
          <t>添加剂</t>
        </is>
      </c>
      <c r="G47" s="3" t="inlineStr">
        <is>
          <t>添加剂浓度</t>
        </is>
      </c>
      <c r="H47" s="3" t="inlineStr">
        <is>
          <t>添加剂浓度_单位</t>
        </is>
      </c>
      <c r="I47" s="3" t="inlineStr">
        <is>
          <t>SDS; EDC; NHS</t>
        </is>
      </c>
      <c r="J47" s="3" t="inlineStr">
        <is>
          <t>0.15; 0.1</t>
        </is>
      </c>
      <c r="K47" s="3" t="inlineStr">
        <is>
          <t>wt%; mol/L</t>
        </is>
      </c>
      <c r="L47" s="3" t="inlineStr"/>
      <c r="M47" s="3" t="inlineStr"/>
      <c r="N47" s="3" t="inlineStr">
        <is>
          <t>wt%; mol/L</t>
        </is>
      </c>
      <c r="O47" s="3" t="inlineStr">
        <is>
          <t>unknown</t>
        </is>
      </c>
      <c r="P47" s="3" t="inlineStr">
        <is>
          <t>unknown</t>
        </is>
      </c>
      <c r="Q47" s="3" t="inlineStr">
        <is>
          <t>solid</t>
        </is>
      </c>
      <c r="R47" s="3" t="inlineStr">
        <is>
          <t>chemical_knowledge</t>
        </is>
      </c>
      <c r="S47" s="3" t="inlineStr">
        <is>
          <t>NOT_PERCENT_UNIT</t>
        </is>
      </c>
      <c r="T47" s="3" t="inlineStr"/>
      <c r="U47" s="3" t="inlineStr">
        <is>
          <t>CANNOT_CONVERT</t>
        </is>
      </c>
      <c r="V47" s="3" t="inlineStr">
        <is>
          <t>Multiple solutes, values, and units with unclear one-to-one mapping and insufficient phase context.</t>
        </is>
      </c>
      <c r="W47" s="3" t="inlineStr"/>
      <c r="X47" s="3" t="inlineStr">
        <is>
          <t>0.15; 0.1</t>
        </is>
      </c>
      <c r="Y47" s="3" t="inlineStr">
        <is>
          <t>wt%; mol/L</t>
        </is>
      </c>
      <c r="Z47" s="4" t="inlineStr"/>
      <c r="AA47" s="4" t="inlineStr">
        <is>
          <t>0.15; 0.1</t>
        </is>
      </c>
      <c r="AB47" s="4" t="inlineStr">
        <is>
          <t>wt%; mol/L</t>
        </is>
      </c>
      <c r="AC47" s="4" t="inlineStr">
        <is>
          <t>CANNOT_CONVERT</t>
        </is>
      </c>
      <c r="AD47" s="4" t="inlineStr">
        <is>
          <t>Multiple solutes, values, and units with unclear one-to-one mapping and insufficient phase context.</t>
        </is>
      </c>
      <c r="AE47" s="3" t="n">
        <v>2</v>
      </c>
      <c r="AF47" s="3" t="inlineStr">
        <is>
          <t>LOW</t>
        </is>
      </c>
      <c r="AG47" s="3" t="b">
        <v>1</v>
      </c>
      <c r="AH47" s="3" t="inlineStr">
        <is>
          <t>MAPPING_RELATION; PHASE_TYPE; SOLUTE_IDENTITY</t>
        </is>
      </c>
    </row>
    <row r="48">
      <c r="A48" s="5" t="n">
        <v>8</v>
      </c>
      <c r="B48" s="5" t="inlineStr">
        <is>
          <t>Lysozyme-immobilized Polyamide RO membrane</t>
        </is>
      </c>
      <c r="C48" s="5" t="inlineStr">
        <is>
          <t>aqueous_monomer</t>
        </is>
      </c>
      <c r="D48" s="5" t="inlineStr">
        <is>
          <t>水相单体</t>
        </is>
      </c>
      <c r="E48" s="5" t="n">
        <v>1</v>
      </c>
      <c r="F48" s="5" t="inlineStr">
        <is>
          <t>水相单体</t>
        </is>
      </c>
      <c r="G48" s="5" t="inlineStr">
        <is>
          <t>水相单体浓度</t>
        </is>
      </c>
      <c r="H48" s="5" t="inlineStr">
        <is>
          <t>水相单体浓度_单位</t>
        </is>
      </c>
      <c r="I48" s="5" t="inlineStr">
        <is>
          <t>MPD</t>
        </is>
      </c>
      <c r="J48" s="5" t="inlineStr">
        <is>
          <t>2.0</t>
        </is>
      </c>
      <c r="K48" s="5" t="inlineStr">
        <is>
          <t>wt%</t>
        </is>
      </c>
      <c r="L48" s="5" t="inlineStr">
        <is>
          <t>MPD</t>
        </is>
      </c>
      <c r="M48" s="5" t="inlineStr">
        <is>
          <t>2</t>
        </is>
      </c>
      <c r="N48" s="5" t="inlineStr">
        <is>
          <t>wt%</t>
        </is>
      </c>
      <c r="O48" s="5" t="inlineStr">
        <is>
          <t>aqueous</t>
        </is>
      </c>
      <c r="P48" s="5" t="inlineStr">
        <is>
          <t>column_hint</t>
        </is>
      </c>
      <c r="Q48" s="5" t="inlineStr">
        <is>
          <t>solid</t>
        </is>
      </c>
      <c r="R48" s="5" t="inlineStr">
        <is>
          <t>chemical_knowledge</t>
        </is>
      </c>
      <c r="S48" s="5" t="inlineStr">
        <is>
          <t>WT_PERCENT</t>
        </is>
      </c>
      <c r="T48" s="5" t="inlineStr">
        <is>
          <t>2</t>
        </is>
      </c>
      <c r="U48" s="5" t="inlineStr">
        <is>
          <t>DIRECT_WT</t>
        </is>
      </c>
      <c r="V48" s="5" t="inlineStr">
        <is>
          <t>Raw unit is wt%, solute is MPD from aqueous_monomer column, phase is aqueous from column hint, value is numeric.</t>
        </is>
      </c>
      <c r="W48" s="5" t="inlineStr">
        <is>
          <t>MPD</t>
        </is>
      </c>
      <c r="X48" s="5" t="inlineStr">
        <is>
          <t>2</t>
        </is>
      </c>
      <c r="Y48" s="5" t="inlineStr">
        <is>
          <t>wt%</t>
        </is>
      </c>
      <c r="Z48" s="4" t="inlineStr">
        <is>
          <t>MPD</t>
        </is>
      </c>
      <c r="AA48" s="4" t="inlineStr">
        <is>
          <t>2</t>
        </is>
      </c>
      <c r="AB48" s="4" t="inlineStr">
        <is>
          <t>wt%</t>
        </is>
      </c>
      <c r="AC48" s="4" t="inlineStr">
        <is>
          <t>DIRECT_WT</t>
        </is>
      </c>
      <c r="AD48" s="4" t="inlineStr">
        <is>
          <t>Raw unit is wt%, solute is MPD from aqueous_monomer column, phase is aqueous from column hint, value is numeric.</t>
        </is>
      </c>
      <c r="AE48" s="5" t="n">
        <v>0</v>
      </c>
      <c r="AF48" s="5" t="inlineStr">
        <is>
          <t>HIGH</t>
        </is>
      </c>
      <c r="AG48" s="5" t="b">
        <v>0</v>
      </c>
      <c r="AH48" s="5" t="inlineStr"/>
    </row>
    <row r="49">
      <c r="A49" s="3" t="n">
        <v>8</v>
      </c>
      <c r="B49" s="3" t="inlineStr">
        <is>
          <t>Lysozyme-immobilized Polyamide RO membrane</t>
        </is>
      </c>
      <c r="C49" s="3" t="inlineStr">
        <is>
          <t>modifier</t>
        </is>
      </c>
      <c r="D49" s="3" t="inlineStr">
        <is>
          <t>改性剂</t>
        </is>
      </c>
      <c r="E49" s="3" t="n">
        <v>1</v>
      </c>
      <c r="F49" s="3" t="inlineStr">
        <is>
          <t>改性剂</t>
        </is>
      </c>
      <c r="G49" s="3" t="inlineStr">
        <is>
          <t>改性剂浓度</t>
        </is>
      </c>
      <c r="H49" s="3" t="inlineStr">
        <is>
          <t>改性剂浓度_单位</t>
        </is>
      </c>
      <c r="I49" s="3" t="inlineStr">
        <is>
          <t>Lysozyme</t>
        </is>
      </c>
      <c r="J49" s="3" t="inlineStr">
        <is>
          <t>1</t>
        </is>
      </c>
      <c r="K49" s="3" t="inlineStr">
        <is>
          <t>mg/mL</t>
        </is>
      </c>
      <c r="L49" s="3" t="inlineStr">
        <is>
          <t>Lysozyme</t>
        </is>
      </c>
      <c r="M49" s="3" t="inlineStr">
        <is>
          <t>1</t>
        </is>
      </c>
      <c r="N49" s="3" t="inlineStr">
        <is>
          <t>mg/mL</t>
        </is>
      </c>
      <c r="O49" s="3" t="inlineStr">
        <is>
          <t>unknown</t>
        </is>
      </c>
      <c r="P49" s="3" t="inlineStr">
        <is>
          <t>unknown</t>
        </is>
      </c>
      <c r="Q49" s="3" t="inlineStr">
        <is>
          <t>solid</t>
        </is>
      </c>
      <c r="R49" s="3" t="inlineStr">
        <is>
          <t>chemical_knowledge</t>
        </is>
      </c>
      <c r="S49" s="3" t="inlineStr">
        <is>
          <t>NOT_PERCENT_UNIT</t>
        </is>
      </c>
      <c r="T49" s="3" t="inlineStr"/>
      <c r="U49" s="3" t="inlineStr">
        <is>
          <t>CANNOT_CONVERT</t>
        </is>
      </c>
      <c r="V49" s="3" t="inlineStr">
        <is>
          <t>Unit mg/mL requires solvent density and solute molecular weight for conversion to wt%, which are not provided in context.</t>
        </is>
      </c>
      <c r="W49" s="3" t="inlineStr">
        <is>
          <t>Lysozyme</t>
        </is>
      </c>
      <c r="X49" s="3" t="inlineStr">
        <is>
          <t>1</t>
        </is>
      </c>
      <c r="Y49" s="3" t="inlineStr">
        <is>
          <t>mg/mL</t>
        </is>
      </c>
      <c r="Z49" s="4" t="inlineStr">
        <is>
          <t>Lysozyme</t>
        </is>
      </c>
      <c r="AA49" s="4" t="inlineStr">
        <is>
          <t>1</t>
        </is>
      </c>
      <c r="AB49" s="4" t="inlineStr">
        <is>
          <t>mg/mL</t>
        </is>
      </c>
      <c r="AC49" s="4" t="inlineStr">
        <is>
          <t>CANNOT_CONVERT</t>
        </is>
      </c>
      <c r="AD49" s="4" t="inlineStr">
        <is>
          <t>Unit mg/mL requires solvent density and solute molecular weight for conversion to wt%, which are not provided in context.</t>
        </is>
      </c>
      <c r="AE49" s="3" t="n">
        <v>2</v>
      </c>
      <c r="AF49" s="3" t="inlineStr">
        <is>
          <t>LOW</t>
        </is>
      </c>
      <c r="AG49" s="3" t="b">
        <v>1</v>
      </c>
      <c r="AH49" s="3" t="inlineStr">
        <is>
          <t>SOLVENT_TYPE; DENSITY; MOLECULAR_WEIGHT</t>
        </is>
      </c>
    </row>
    <row r="50">
      <c r="A50" s="5" t="n">
        <v>8</v>
      </c>
      <c r="B50" s="5" t="inlineStr">
        <is>
          <t>Lysozyme-immobilized Polyamide RO membrane</t>
        </is>
      </c>
      <c r="C50" s="5" t="inlineStr">
        <is>
          <t>organic_monomer</t>
        </is>
      </c>
      <c r="D50" s="5" t="inlineStr">
        <is>
          <t>油相单体</t>
        </is>
      </c>
      <c r="E50" s="5" t="n">
        <v>1</v>
      </c>
      <c r="F50" s="5" t="inlineStr">
        <is>
          <t>油相单体</t>
        </is>
      </c>
      <c r="G50" s="5" t="inlineStr">
        <is>
          <t>油相单体浓度</t>
        </is>
      </c>
      <c r="H50" s="5" t="inlineStr">
        <is>
          <t>油相单体浓度_单位</t>
        </is>
      </c>
      <c r="I50" s="5" t="inlineStr">
        <is>
          <t>TMC</t>
        </is>
      </c>
      <c r="J50" s="5" t="inlineStr">
        <is>
          <t>1.0</t>
        </is>
      </c>
      <c r="K50" s="5" t="inlineStr">
        <is>
          <t>wt%</t>
        </is>
      </c>
      <c r="L50" s="5" t="inlineStr">
        <is>
          <t>TMC</t>
        </is>
      </c>
      <c r="M50" s="5" t="inlineStr">
        <is>
          <t>1</t>
        </is>
      </c>
      <c r="N50" s="5" t="inlineStr">
        <is>
          <t>wt%</t>
        </is>
      </c>
      <c r="O50" s="5" t="inlineStr">
        <is>
          <t>organic</t>
        </is>
      </c>
      <c r="P50" s="5" t="inlineStr">
        <is>
          <t>column_hint</t>
        </is>
      </c>
      <c r="Q50" s="5" t="inlineStr">
        <is>
          <t>solid</t>
        </is>
      </c>
      <c r="R50" s="5" t="inlineStr">
        <is>
          <t>chemical_knowledge</t>
        </is>
      </c>
      <c r="S50" s="5" t="inlineStr">
        <is>
          <t>WT_PERCENT</t>
        </is>
      </c>
      <c r="T50" s="5" t="inlineStr">
        <is>
          <t>1</t>
        </is>
      </c>
      <c r="U50" s="5" t="inlineStr">
        <is>
          <t>DIRECT_WT</t>
        </is>
      </c>
      <c r="V50" s="5" t="inlineStr">
        <is>
          <t>Organic monomer TMC concentration is given as wt% in organic phase with clear unit and value.</t>
        </is>
      </c>
      <c r="W50" s="5" t="inlineStr">
        <is>
          <t>TMC</t>
        </is>
      </c>
      <c r="X50" s="5" t="inlineStr">
        <is>
          <t>1</t>
        </is>
      </c>
      <c r="Y50" s="5" t="inlineStr">
        <is>
          <t>wt%</t>
        </is>
      </c>
      <c r="Z50" s="4" t="inlineStr">
        <is>
          <t>TMC</t>
        </is>
      </c>
      <c r="AA50" s="4" t="inlineStr">
        <is>
          <t>1</t>
        </is>
      </c>
      <c r="AB50" s="4" t="inlineStr">
        <is>
          <t>wt%</t>
        </is>
      </c>
      <c r="AC50" s="4" t="inlineStr">
        <is>
          <t>DIRECT_WT</t>
        </is>
      </c>
      <c r="AD50" s="4" t="inlineStr">
        <is>
          <t>Organic monomer TMC concentration is given as wt% in organic phase with clear unit and value.</t>
        </is>
      </c>
      <c r="AE50" s="5" t="n">
        <v>0</v>
      </c>
      <c r="AF50" s="5" t="inlineStr">
        <is>
          <t>HIGH</t>
        </is>
      </c>
      <c r="AG50" s="5" t="b">
        <v>0</v>
      </c>
      <c r="AH50" s="5" t="inlineStr"/>
    </row>
    <row r="51">
      <c r="A51" s="5" t="n">
        <v>8</v>
      </c>
      <c r="B51" s="5" t="inlineStr">
        <is>
          <t>Lysozyme-immobilized Polyamide RO membrane</t>
        </is>
      </c>
      <c r="C51" s="5" t="inlineStr">
        <is>
          <t>test_nacl</t>
        </is>
      </c>
      <c r="D51" s="5" t="inlineStr">
        <is>
          <t>测试NaCl</t>
        </is>
      </c>
      <c r="E51" s="5" t="n">
        <v>1</v>
      </c>
      <c r="F51" s="5" t="inlineStr"/>
      <c r="G51" s="5" t="inlineStr">
        <is>
          <t>测试NaCl浓度</t>
        </is>
      </c>
      <c r="H51" s="5" t="inlineStr">
        <is>
          <t>测试NaCl浓度_单位</t>
        </is>
      </c>
      <c r="I51" s="5" t="inlineStr">
        <is>
          <t>NaCl</t>
        </is>
      </c>
      <c r="J51" s="5" t="inlineStr">
        <is>
          <t>0.05</t>
        </is>
      </c>
      <c r="K51" s="5" t="inlineStr">
        <is>
          <t>wt%</t>
        </is>
      </c>
      <c r="L51" s="5" t="inlineStr">
        <is>
          <t>NaCl</t>
        </is>
      </c>
      <c r="M51" s="5" t="inlineStr">
        <is>
          <t>0.05</t>
        </is>
      </c>
      <c r="N51" s="5" t="inlineStr">
        <is>
          <t>wt%</t>
        </is>
      </c>
      <c r="O51" s="5" t="inlineStr">
        <is>
          <t>test_aqueous</t>
        </is>
      </c>
      <c r="P51" s="5" t="inlineStr">
        <is>
          <t>column_hint</t>
        </is>
      </c>
      <c r="Q51" s="5" t="inlineStr">
        <is>
          <t>solid</t>
        </is>
      </c>
      <c r="R51" s="5" t="inlineStr">
        <is>
          <t>chemical_knowledge</t>
        </is>
      </c>
      <c r="S51" s="5" t="inlineStr">
        <is>
          <t>WT_PERCENT</t>
        </is>
      </c>
      <c r="T51" s="5" t="inlineStr">
        <is>
          <t>0.05</t>
        </is>
      </c>
      <c r="U51" s="5" t="inlineStr">
        <is>
          <t>DIRECT_WT</t>
        </is>
      </c>
      <c r="V51" s="5" t="inlineStr">
        <is>
          <t>Raw unit is wt%, solute is NaCl, phase hint is test_aqueous, and value is numeric.</t>
        </is>
      </c>
      <c r="W51" s="5" t="inlineStr">
        <is>
          <t>NaCl</t>
        </is>
      </c>
      <c r="X51" s="5" t="inlineStr">
        <is>
          <t>0.05</t>
        </is>
      </c>
      <c r="Y51" s="5" t="inlineStr">
        <is>
          <t>wt%</t>
        </is>
      </c>
      <c r="Z51" s="4" t="inlineStr">
        <is>
          <t>NaCl</t>
        </is>
      </c>
      <c r="AA51" s="4" t="inlineStr">
        <is>
          <t>0.05</t>
        </is>
      </c>
      <c r="AB51" s="4" t="inlineStr">
        <is>
          <t>wt%</t>
        </is>
      </c>
      <c r="AC51" s="4" t="inlineStr">
        <is>
          <t>DIRECT_WT</t>
        </is>
      </c>
      <c r="AD51" s="4" t="inlineStr">
        <is>
          <t>Raw unit is wt%, solute is NaCl, phase hint is test_aqueous, and value is numeric.</t>
        </is>
      </c>
      <c r="AE51" s="5" t="n">
        <v>0</v>
      </c>
      <c r="AF51" s="5" t="inlineStr">
        <is>
          <t>HIGH</t>
        </is>
      </c>
      <c r="AG51" s="5" t="b">
        <v>0</v>
      </c>
      <c r="AH51" s="5" t="inlineStr"/>
    </row>
    <row r="52">
      <c r="A52" s="3" t="n">
        <v>9</v>
      </c>
      <c r="B52" s="3" t="inlineStr">
        <is>
          <t>15CC3@RO</t>
        </is>
      </c>
      <c r="C52" s="3" t="inlineStr">
        <is>
          <t>additive</t>
        </is>
      </c>
      <c r="D52" s="3" t="inlineStr">
        <is>
          <t>添加剂</t>
        </is>
      </c>
      <c r="E52" s="3" t="n">
        <v>1</v>
      </c>
      <c r="F52" s="3" t="inlineStr">
        <is>
          <t>添加剂</t>
        </is>
      </c>
      <c r="G52" s="3" t="inlineStr">
        <is>
          <t>添加剂浓度</t>
        </is>
      </c>
      <c r="H52" s="3" t="inlineStr">
        <is>
          <t>添加剂浓度_单位</t>
        </is>
      </c>
      <c r="I52" s="3" t="inlineStr">
        <is>
          <t>TEA</t>
        </is>
      </c>
      <c r="J52" s="3" t="inlineStr">
        <is>
          <t>1.1</t>
        </is>
      </c>
      <c r="K52" s="3" t="inlineStr">
        <is>
          <t>w/v%</t>
        </is>
      </c>
      <c r="L52" s="3" t="inlineStr">
        <is>
          <t>TEA</t>
        </is>
      </c>
      <c r="M52" s="3" t="inlineStr">
        <is>
          <t>1.1</t>
        </is>
      </c>
      <c r="N52" s="3" t="inlineStr">
        <is>
          <t>w/v%</t>
        </is>
      </c>
      <c r="O52" s="3" t="inlineStr">
        <is>
          <t>aqueous</t>
        </is>
      </c>
      <c r="P52" s="3" t="inlineStr">
        <is>
          <t>row_context</t>
        </is>
      </c>
      <c r="Q52" s="3" t="inlineStr">
        <is>
          <t>liquid</t>
        </is>
      </c>
      <c r="R52" s="3" t="inlineStr">
        <is>
          <t>chemical_knowledge</t>
        </is>
      </c>
      <c r="S52" s="3" t="inlineStr">
        <is>
          <t>WV_PERCENT</t>
        </is>
      </c>
      <c r="T52" s="3" t="inlineStr"/>
      <c r="U52" s="3" t="inlineStr">
        <is>
          <t>CANNOT_CONVERT</t>
        </is>
      </c>
      <c r="V52" s="3" t="inlineStr">
        <is>
          <t>Unit w/v% indicates weight/volume percent, requiring density and molecular weight for conversion to wt%.</t>
        </is>
      </c>
      <c r="W52" s="3" t="inlineStr">
        <is>
          <t>TEA</t>
        </is>
      </c>
      <c r="X52" s="3" t="inlineStr">
        <is>
          <t>1.1</t>
        </is>
      </c>
      <c r="Y52" s="3" t="inlineStr">
        <is>
          <t>w/v%</t>
        </is>
      </c>
      <c r="Z52" s="4" t="inlineStr">
        <is>
          <t>TEA</t>
        </is>
      </c>
      <c r="AA52" s="4" t="inlineStr">
        <is>
          <t>1.1</t>
        </is>
      </c>
      <c r="AB52" s="4" t="inlineStr">
        <is>
          <t>w/v%</t>
        </is>
      </c>
      <c r="AC52" s="4" t="inlineStr">
        <is>
          <t>CANNOT_CONVERT</t>
        </is>
      </c>
      <c r="AD52" s="4" t="inlineStr">
        <is>
          <t>Unit w/v% indicates weight/volume percent, requiring density and molecular weight for conversion to wt%.</t>
        </is>
      </c>
      <c r="AE52" s="3" t="n">
        <v>2</v>
      </c>
      <c r="AF52" s="3" t="inlineStr">
        <is>
          <t>HIGH</t>
        </is>
      </c>
      <c r="AG52" s="3" t="b">
        <v>1</v>
      </c>
      <c r="AH52" s="3" t="inlineStr">
        <is>
          <t>DENSITY; MOLECULAR_WEIGHT</t>
        </is>
      </c>
    </row>
    <row r="53">
      <c r="A53" s="3" t="n">
        <v>9</v>
      </c>
      <c r="B53" s="3" t="inlineStr">
        <is>
          <t>15CC3@RO</t>
        </is>
      </c>
      <c r="C53" s="3" t="inlineStr">
        <is>
          <t>additive</t>
        </is>
      </c>
      <c r="D53" s="3" t="inlineStr">
        <is>
          <t>添加剂</t>
        </is>
      </c>
      <c r="E53" s="3" t="n">
        <v>2</v>
      </c>
      <c r="F53" s="3" t="inlineStr">
        <is>
          <t>添加剂</t>
        </is>
      </c>
      <c r="G53" s="3" t="inlineStr">
        <is>
          <t>添加剂浓度</t>
        </is>
      </c>
      <c r="H53" s="3" t="inlineStr">
        <is>
          <t>添加剂浓度_单位</t>
        </is>
      </c>
      <c r="I53" s="3" t="inlineStr">
        <is>
          <t>CSA</t>
        </is>
      </c>
      <c r="J53" s="3" t="inlineStr">
        <is>
          <t>2.6</t>
        </is>
      </c>
      <c r="K53" s="3" t="inlineStr">
        <is>
          <t>w/v%</t>
        </is>
      </c>
      <c r="L53" s="3" t="inlineStr">
        <is>
          <t>CSA</t>
        </is>
      </c>
      <c r="M53" s="3" t="inlineStr">
        <is>
          <t>2.6</t>
        </is>
      </c>
      <c r="N53" s="3" t="inlineStr">
        <is>
          <t>w/v%</t>
        </is>
      </c>
      <c r="O53" s="3" t="inlineStr">
        <is>
          <t>aqueous</t>
        </is>
      </c>
      <c r="P53" s="3" t="inlineStr">
        <is>
          <t>row_context</t>
        </is>
      </c>
      <c r="Q53" s="3" t="inlineStr">
        <is>
          <t>solid</t>
        </is>
      </c>
      <c r="R53" s="3" t="inlineStr">
        <is>
          <t>chemical_knowledge</t>
        </is>
      </c>
      <c r="S53" s="3" t="inlineStr">
        <is>
          <t>WV_PERCENT</t>
        </is>
      </c>
      <c r="T53" s="3" t="inlineStr"/>
      <c r="U53" s="3" t="inlineStr">
        <is>
          <t>CANNOT_CONVERT</t>
        </is>
      </c>
      <c r="V53" s="3" t="inlineStr">
        <is>
          <t>Unit w/v% indicates weight/volume percent, requiring density and molecular weight for conversion to wt%.</t>
        </is>
      </c>
      <c r="W53" s="3" t="inlineStr">
        <is>
          <t>CSA</t>
        </is>
      </c>
      <c r="X53" s="3" t="inlineStr">
        <is>
          <t>2.6</t>
        </is>
      </c>
      <c r="Y53" s="3" t="inlineStr">
        <is>
          <t>w/v%</t>
        </is>
      </c>
      <c r="Z53" s="4" t="inlineStr">
        <is>
          <t>CSA</t>
        </is>
      </c>
      <c r="AA53" s="4" t="inlineStr">
        <is>
          <t>2.6</t>
        </is>
      </c>
      <c r="AB53" s="4" t="inlineStr">
        <is>
          <t>w/v%</t>
        </is>
      </c>
      <c r="AC53" s="4" t="inlineStr">
        <is>
          <t>CANNOT_CONVERT</t>
        </is>
      </c>
      <c r="AD53" s="4" t="inlineStr">
        <is>
          <t>Unit w/v% indicates weight/volume percent, requiring density and molecular weight for conversion to wt%.</t>
        </is>
      </c>
      <c r="AE53" s="3" t="n">
        <v>2</v>
      </c>
      <c r="AF53" s="3" t="inlineStr">
        <is>
          <t>HIGH</t>
        </is>
      </c>
      <c r="AG53" s="3" t="b">
        <v>1</v>
      </c>
      <c r="AH53" s="3" t="inlineStr">
        <is>
          <t>DENSITY; MOLECULAR_WEIGHT</t>
        </is>
      </c>
    </row>
    <row r="54">
      <c r="A54" s="3" t="n">
        <v>9</v>
      </c>
      <c r="B54" s="3" t="inlineStr">
        <is>
          <t>15CC3@RO</t>
        </is>
      </c>
      <c r="C54" s="3" t="inlineStr">
        <is>
          <t>aqueous_monomer</t>
        </is>
      </c>
      <c r="D54" s="3" t="inlineStr">
        <is>
          <t>水相单体</t>
        </is>
      </c>
      <c r="E54" s="3" t="n">
        <v>1</v>
      </c>
      <c r="F54" s="3" t="inlineStr">
        <is>
          <t>水相单体</t>
        </is>
      </c>
      <c r="G54" s="3" t="inlineStr">
        <is>
          <t>水相单体浓度</t>
        </is>
      </c>
      <c r="H54" s="3" t="inlineStr">
        <is>
          <t>水相单体浓度_单位</t>
        </is>
      </c>
      <c r="I54" s="3" t="inlineStr">
        <is>
          <t>MPD</t>
        </is>
      </c>
      <c r="J54" s="3" t="inlineStr">
        <is>
          <t>2.0</t>
        </is>
      </c>
      <c r="K54" s="3" t="inlineStr">
        <is>
          <t>w/v%</t>
        </is>
      </c>
      <c r="L54" s="3" t="inlineStr">
        <is>
          <t>MPD</t>
        </is>
      </c>
      <c r="M54" s="3" t="inlineStr">
        <is>
          <t>2</t>
        </is>
      </c>
      <c r="N54" s="3" t="inlineStr">
        <is>
          <t>w/v%</t>
        </is>
      </c>
      <c r="O54" s="3" t="inlineStr">
        <is>
          <t>aqueous</t>
        </is>
      </c>
      <c r="P54" s="3" t="inlineStr">
        <is>
          <t>column_hint</t>
        </is>
      </c>
      <c r="Q54" s="3" t="inlineStr">
        <is>
          <t>solid</t>
        </is>
      </c>
      <c r="R54" s="3" t="inlineStr">
        <is>
          <t>chemical_knowledge</t>
        </is>
      </c>
      <c r="S54" s="3" t="inlineStr">
        <is>
          <t>WV_PERCENT</t>
        </is>
      </c>
      <c r="T54" s="3" t="inlineStr"/>
      <c r="U54" s="3" t="inlineStr">
        <is>
          <t>CANNOT_CONVERT</t>
        </is>
      </c>
      <c r="V54" s="3" t="inlineStr">
        <is>
          <t>Unit w/v% indicates weight/volume percent, requiring density for conversion to wt% which is not provided in context.</t>
        </is>
      </c>
      <c r="W54" s="3" t="inlineStr">
        <is>
          <t>MPD</t>
        </is>
      </c>
      <c r="X54" s="3" t="inlineStr">
        <is>
          <t>2</t>
        </is>
      </c>
      <c r="Y54" s="3" t="inlineStr">
        <is>
          <t>w/v%</t>
        </is>
      </c>
      <c r="Z54" s="4" t="inlineStr">
        <is>
          <t>MPD</t>
        </is>
      </c>
      <c r="AA54" s="4" t="inlineStr">
        <is>
          <t>2</t>
        </is>
      </c>
      <c r="AB54" s="4" t="inlineStr">
        <is>
          <t>w/v%</t>
        </is>
      </c>
      <c r="AC54" s="4" t="inlineStr">
        <is>
          <t>CANNOT_CONVERT</t>
        </is>
      </c>
      <c r="AD54" s="4" t="inlineStr">
        <is>
          <t>Unit w/v% indicates weight/volume percent, requiring density for conversion to wt% which is not provided in context.</t>
        </is>
      </c>
      <c r="AE54" s="3" t="n">
        <v>2</v>
      </c>
      <c r="AF54" s="3" t="inlineStr">
        <is>
          <t>HIGH</t>
        </is>
      </c>
      <c r="AG54" s="3" t="b">
        <v>0</v>
      </c>
      <c r="AH54" s="3" t="inlineStr"/>
    </row>
    <row r="55">
      <c r="A55" s="3" t="n">
        <v>9</v>
      </c>
      <c r="B55" s="3" t="inlineStr">
        <is>
          <t>15CC3@RO</t>
        </is>
      </c>
      <c r="C55" s="3" t="inlineStr">
        <is>
          <t>modifier</t>
        </is>
      </c>
      <c r="D55" s="3" t="inlineStr">
        <is>
          <t>改性剂</t>
        </is>
      </c>
      <c r="E55" s="3" t="n">
        <v>1</v>
      </c>
      <c r="F55" s="3" t="inlineStr">
        <is>
          <t>改性剂</t>
        </is>
      </c>
      <c r="G55" s="3" t="inlineStr">
        <is>
          <t>改性剂浓度</t>
        </is>
      </c>
      <c r="H55" s="3" t="inlineStr">
        <is>
          <t>改性剂浓度_单位</t>
        </is>
      </c>
      <c r="I55" s="3" t="inlineStr">
        <is>
          <t>CC3</t>
        </is>
      </c>
      <c r="J55" s="3" t="inlineStr">
        <is>
          <t>0.015</t>
        </is>
      </c>
      <c r="K55" s="3" t="inlineStr">
        <is>
          <t>w/v%</t>
        </is>
      </c>
      <c r="L55" s="3" t="inlineStr">
        <is>
          <t>CC3</t>
        </is>
      </c>
      <c r="M55" s="3" t="inlineStr">
        <is>
          <t>0.015</t>
        </is>
      </c>
      <c r="N55" s="3" t="inlineStr">
        <is>
          <t>w/v%</t>
        </is>
      </c>
      <c r="O55" s="3" t="inlineStr">
        <is>
          <t>unknown</t>
        </is>
      </c>
      <c r="P55" s="3" t="inlineStr">
        <is>
          <t>unknown</t>
        </is>
      </c>
      <c r="Q55" s="3" t="inlineStr">
        <is>
          <t>unknown</t>
        </is>
      </c>
      <c r="R55" s="3" t="inlineStr">
        <is>
          <t>unknown</t>
        </is>
      </c>
      <c r="S55" s="3" t="inlineStr">
        <is>
          <t>WV_PERCENT</t>
        </is>
      </c>
      <c r="T55" s="3" t="inlineStr"/>
      <c r="U55" s="3" t="inlineStr">
        <is>
          <t>CANNOT_CONVERT</t>
        </is>
      </c>
      <c r="V55" s="3" t="inlineStr">
        <is>
          <t>Unit 'w/v%' indicates weight/volume percent, but solvent and solute properties are unknown for conversion to wt%.</t>
        </is>
      </c>
      <c r="W55" s="3" t="inlineStr">
        <is>
          <t>CC3</t>
        </is>
      </c>
      <c r="X55" s="3" t="inlineStr">
        <is>
          <t>0.015</t>
        </is>
      </c>
      <c r="Y55" s="3" t="inlineStr">
        <is>
          <t>w/v%</t>
        </is>
      </c>
      <c r="Z55" s="4" t="inlineStr">
        <is>
          <t>CC3</t>
        </is>
      </c>
      <c r="AA55" s="4" t="inlineStr">
        <is>
          <t>0.015</t>
        </is>
      </c>
      <c r="AB55" s="4" t="inlineStr">
        <is>
          <t>w/v%</t>
        </is>
      </c>
      <c r="AC55" s="4" t="inlineStr">
        <is>
          <t>CANNOT_CONVERT</t>
        </is>
      </c>
      <c r="AD55" s="4" t="inlineStr">
        <is>
          <t>Unit 'w/v%' indicates weight/volume percent, but solvent and solute properties are unknown for conversion to wt%.</t>
        </is>
      </c>
      <c r="AE55" s="3" t="n">
        <v>2</v>
      </c>
      <c r="AF55" s="3" t="inlineStr">
        <is>
          <t>MEDIUM</t>
        </is>
      </c>
      <c r="AG55" s="3" t="b">
        <v>1</v>
      </c>
      <c r="AH55" s="3" t="inlineStr">
        <is>
          <t>SOLVENT_TYPE; DENSITY; MOLECULAR_WEIGHT</t>
        </is>
      </c>
    </row>
    <row r="56">
      <c r="A56" s="3" t="n">
        <v>9</v>
      </c>
      <c r="B56" s="3" t="inlineStr">
        <is>
          <t>15CC3@RO</t>
        </is>
      </c>
      <c r="C56" s="3" t="inlineStr">
        <is>
          <t>organic_monomer</t>
        </is>
      </c>
      <c r="D56" s="3" t="inlineStr">
        <is>
          <t>油相单体</t>
        </is>
      </c>
      <c r="E56" s="3" t="n">
        <v>1</v>
      </c>
      <c r="F56" s="3" t="inlineStr">
        <is>
          <t>油相单体</t>
        </is>
      </c>
      <c r="G56" s="3" t="inlineStr">
        <is>
          <t>油相单体浓度</t>
        </is>
      </c>
      <c r="H56" s="3" t="inlineStr">
        <is>
          <t>油相单体浓度_单位</t>
        </is>
      </c>
      <c r="I56" s="3" t="inlineStr">
        <is>
          <t>TMC</t>
        </is>
      </c>
      <c r="J56" s="3" t="inlineStr">
        <is>
          <t>0.1</t>
        </is>
      </c>
      <c r="K56" s="3" t="inlineStr">
        <is>
          <t>w/v%</t>
        </is>
      </c>
      <c r="L56" s="3" t="inlineStr">
        <is>
          <t>TMC</t>
        </is>
      </c>
      <c r="M56" s="3" t="inlineStr">
        <is>
          <t>0.1</t>
        </is>
      </c>
      <c r="N56" s="3" t="inlineStr">
        <is>
          <t>w/v%</t>
        </is>
      </c>
      <c r="O56" s="3" t="inlineStr">
        <is>
          <t>organic</t>
        </is>
      </c>
      <c r="P56" s="3" t="inlineStr">
        <is>
          <t>column_hint</t>
        </is>
      </c>
      <c r="Q56" s="3" t="inlineStr">
        <is>
          <t>solid</t>
        </is>
      </c>
      <c r="R56" s="3" t="inlineStr">
        <is>
          <t>chemical_knowledge</t>
        </is>
      </c>
      <c r="S56" s="3" t="inlineStr">
        <is>
          <t>WV_PERCENT</t>
        </is>
      </c>
      <c r="T56" s="3" t="inlineStr"/>
      <c r="U56" s="3" t="inlineStr">
        <is>
          <t>CANNOT_CONVERT</t>
        </is>
      </c>
      <c r="V56" s="3" t="inlineStr">
        <is>
          <t>Unit w/v% indicates weight/volume percent, requiring density and molecular weight for conversion to wt%.</t>
        </is>
      </c>
      <c r="W56" s="3" t="inlineStr">
        <is>
          <t>TMC</t>
        </is>
      </c>
      <c r="X56" s="3" t="inlineStr">
        <is>
          <t>0.1</t>
        </is>
      </c>
      <c r="Y56" s="3" t="inlineStr">
        <is>
          <t>w/v%</t>
        </is>
      </c>
      <c r="Z56" s="4" t="inlineStr">
        <is>
          <t>TMC</t>
        </is>
      </c>
      <c r="AA56" s="4" t="inlineStr">
        <is>
          <t>0.1</t>
        </is>
      </c>
      <c r="AB56" s="4" t="inlineStr">
        <is>
          <t>w/v%</t>
        </is>
      </c>
      <c r="AC56" s="4" t="inlineStr">
        <is>
          <t>CANNOT_CONVERT</t>
        </is>
      </c>
      <c r="AD56" s="4" t="inlineStr">
        <is>
          <t>Unit w/v% indicates weight/volume percent, requiring density and molecular weight for conversion to wt%.</t>
        </is>
      </c>
      <c r="AE56" s="3" t="n">
        <v>2</v>
      </c>
      <c r="AF56" s="3" t="inlineStr">
        <is>
          <t>HIGH</t>
        </is>
      </c>
      <c r="AG56" s="3" t="b">
        <v>1</v>
      </c>
      <c r="AH56" s="3" t="inlineStr">
        <is>
          <t>DENSITY; MOLECULAR_WEIGHT</t>
        </is>
      </c>
    </row>
    <row r="57">
      <c r="A57" s="5" t="n">
        <v>9</v>
      </c>
      <c r="B57" s="5" t="inlineStr">
        <is>
          <t>15CC3@RO</t>
        </is>
      </c>
      <c r="C57" s="5" t="inlineStr">
        <is>
          <t>test_nacl</t>
        </is>
      </c>
      <c r="D57" s="5" t="inlineStr">
        <is>
          <t>测试NaCl</t>
        </is>
      </c>
      <c r="E57" s="5" t="n">
        <v>1</v>
      </c>
      <c r="F57" s="5" t="inlineStr"/>
      <c r="G57" s="5" t="inlineStr">
        <is>
          <t>测试NaCl浓度</t>
        </is>
      </c>
      <c r="H57" s="5" t="inlineStr">
        <is>
          <t>测试NaCl浓度_单位</t>
        </is>
      </c>
      <c r="I57" s="5" t="inlineStr">
        <is>
          <t>NaCl</t>
        </is>
      </c>
      <c r="J57" s="5" t="inlineStr">
        <is>
          <t>2000.0</t>
        </is>
      </c>
      <c r="K57" s="5" t="inlineStr">
        <is>
          <t>ppm</t>
        </is>
      </c>
      <c r="L57" s="5" t="inlineStr">
        <is>
          <t>NaCl</t>
        </is>
      </c>
      <c r="M57" s="5" t="inlineStr">
        <is>
          <t>2000</t>
        </is>
      </c>
      <c r="N57" s="5" t="inlineStr">
        <is>
          <t>ppm</t>
        </is>
      </c>
      <c r="O57" s="5" t="inlineStr">
        <is>
          <t>test_aqueous</t>
        </is>
      </c>
      <c r="P57" s="5" t="inlineStr">
        <is>
          <t>column_hint</t>
        </is>
      </c>
      <c r="Q57" s="5" t="inlineStr">
        <is>
          <t>solid</t>
        </is>
      </c>
      <c r="R57" s="5" t="inlineStr">
        <is>
          <t>chemical_knowledge</t>
        </is>
      </c>
      <c r="S57" s="5" t="inlineStr">
        <is>
          <t>NOT_PERCENT_UNIT</t>
        </is>
      </c>
      <c r="T57" s="5" t="inlineStr">
        <is>
          <t>0.2</t>
        </is>
      </c>
      <c r="U57" s="5" t="inlineStr">
        <is>
          <t>SAFE_CONVERTED</t>
        </is>
      </c>
      <c r="V57" s="5" t="inlineStr">
        <is>
          <t>NaCl concentration in ppm is clearly defined and can be safely converted to wt% for aqueous solutions.</t>
        </is>
      </c>
      <c r="W57" s="5" t="inlineStr">
        <is>
          <t>NaCl</t>
        </is>
      </c>
      <c r="X57" s="5" t="inlineStr">
        <is>
          <t>0.2</t>
        </is>
      </c>
      <c r="Y57" s="5" t="inlineStr">
        <is>
          <t>wt%</t>
        </is>
      </c>
      <c r="Z57" s="4" t="inlineStr">
        <is>
          <t>NaCl</t>
        </is>
      </c>
      <c r="AA57" s="4" t="inlineStr">
        <is>
          <t>0.2</t>
        </is>
      </c>
      <c r="AB57" s="4" t="inlineStr">
        <is>
          <t>wt%</t>
        </is>
      </c>
      <c r="AC57" s="4" t="inlineStr">
        <is>
          <t>SAFE_CONVERTED</t>
        </is>
      </c>
      <c r="AD57" s="4" t="inlineStr">
        <is>
          <t>NaCl concentration in ppm is clearly defined and can be safely converted to wt% for aqueous solutions.</t>
        </is>
      </c>
      <c r="AE57" s="5" t="n">
        <v>0</v>
      </c>
      <c r="AF57" s="5" t="inlineStr">
        <is>
          <t>HIGH</t>
        </is>
      </c>
      <c r="AG57" s="5" t="b">
        <v>0</v>
      </c>
      <c r="AH57" s="5" t="inlineStr"/>
    </row>
    <row r="58">
      <c r="A58" s="5" t="n">
        <v>10</v>
      </c>
      <c r="B58" s="5" t="inlineStr">
        <is>
          <t>TFCM0.5</t>
        </is>
      </c>
      <c r="C58" s="5" t="inlineStr">
        <is>
          <t>additive</t>
        </is>
      </c>
      <c r="D58" s="5" t="inlineStr">
        <is>
          <t>添加剂</t>
        </is>
      </c>
      <c r="E58" s="5" t="n">
        <v>1</v>
      </c>
      <c r="F58" s="5" t="inlineStr">
        <is>
          <t>添加剂</t>
        </is>
      </c>
      <c r="G58" s="5" t="inlineStr">
        <is>
          <t>添加剂浓度</t>
        </is>
      </c>
      <c r="H58" s="5" t="inlineStr">
        <is>
          <t>添加剂浓度_单位</t>
        </is>
      </c>
      <c r="I58" s="5" t="inlineStr">
        <is>
          <t>TEA</t>
        </is>
      </c>
      <c r="J58" s="5" t="inlineStr">
        <is>
          <t>2</t>
        </is>
      </c>
      <c r="K58" s="5" t="inlineStr">
        <is>
          <t>w/w%</t>
        </is>
      </c>
      <c r="L58" s="5" t="inlineStr">
        <is>
          <t>TEA</t>
        </is>
      </c>
      <c r="M58" s="5" t="inlineStr">
        <is>
          <t>2</t>
        </is>
      </c>
      <c r="N58" s="5" t="inlineStr">
        <is>
          <t>w/w%</t>
        </is>
      </c>
      <c r="O58" s="5" t="inlineStr">
        <is>
          <t>aqueous</t>
        </is>
      </c>
      <c r="P58" s="5" t="inlineStr">
        <is>
          <t>row_context</t>
        </is>
      </c>
      <c r="Q58" s="5" t="inlineStr">
        <is>
          <t>liquid</t>
        </is>
      </c>
      <c r="R58" s="5" t="inlineStr">
        <is>
          <t>chemical_knowledge</t>
        </is>
      </c>
      <c r="S58" s="5" t="inlineStr">
        <is>
          <t>WT_PERCENT</t>
        </is>
      </c>
      <c r="T58" s="5" t="inlineStr">
        <is>
          <t>2</t>
        </is>
      </c>
      <c r="U58" s="5" t="inlineStr">
        <is>
          <t>DIRECT_WT</t>
        </is>
      </c>
      <c r="V58" s="5" t="inlineStr">
        <is>
          <t>Unit w/w% clearly indicates weight percent, additive TEA is likely in aqueous phase based on row context.</t>
        </is>
      </c>
      <c r="W58" s="5" t="inlineStr">
        <is>
          <t>TEA</t>
        </is>
      </c>
      <c r="X58" s="5" t="inlineStr">
        <is>
          <t>2</t>
        </is>
      </c>
      <c r="Y58" s="5" t="inlineStr">
        <is>
          <t>wt%</t>
        </is>
      </c>
      <c r="Z58" s="4" t="inlineStr">
        <is>
          <t>TEA</t>
        </is>
      </c>
      <c r="AA58" s="4" t="inlineStr">
        <is>
          <t>2</t>
        </is>
      </c>
      <c r="AB58" s="4" t="inlineStr">
        <is>
          <t>wt%</t>
        </is>
      </c>
      <c r="AC58" s="4" t="inlineStr">
        <is>
          <t>DIRECT_WT</t>
        </is>
      </c>
      <c r="AD58" s="4" t="inlineStr">
        <is>
          <t>Unit w/w% clearly indicates weight percent, additive TEA is likely in aqueous phase based on row context.</t>
        </is>
      </c>
      <c r="AE58" s="5" t="n">
        <v>0</v>
      </c>
      <c r="AF58" s="5" t="inlineStr">
        <is>
          <t>HIGH</t>
        </is>
      </c>
      <c r="AG58" s="5" t="b">
        <v>0</v>
      </c>
      <c r="AH58" s="5" t="inlineStr"/>
    </row>
    <row r="59">
      <c r="A59" s="5" t="n">
        <v>10</v>
      </c>
      <c r="B59" s="5" t="inlineStr">
        <is>
          <t>TFCM0.5</t>
        </is>
      </c>
      <c r="C59" s="5" t="inlineStr">
        <is>
          <t>additive</t>
        </is>
      </c>
      <c r="D59" s="5" t="inlineStr">
        <is>
          <t>添加剂</t>
        </is>
      </c>
      <c r="E59" s="5" t="n">
        <v>2</v>
      </c>
      <c r="F59" s="5" t="inlineStr">
        <is>
          <t>添加剂</t>
        </is>
      </c>
      <c r="G59" s="5" t="inlineStr">
        <is>
          <t>添加剂浓度</t>
        </is>
      </c>
      <c r="H59" s="5" t="inlineStr">
        <is>
          <t>添加剂浓度_单位</t>
        </is>
      </c>
      <c r="I59" s="5" t="inlineStr">
        <is>
          <t>CSA</t>
        </is>
      </c>
      <c r="J59" s="5" t="inlineStr">
        <is>
          <t>4.6</t>
        </is>
      </c>
      <c r="K59" s="5" t="inlineStr">
        <is>
          <t>w/w%</t>
        </is>
      </c>
      <c r="L59" s="5" t="inlineStr">
        <is>
          <t>CSA</t>
        </is>
      </c>
      <c r="M59" s="5" t="inlineStr">
        <is>
          <t>4.6</t>
        </is>
      </c>
      <c r="N59" s="5" t="inlineStr">
        <is>
          <t>w/w%</t>
        </is>
      </c>
      <c r="O59" s="5" t="inlineStr">
        <is>
          <t>aqueous</t>
        </is>
      </c>
      <c r="P59" s="5" t="inlineStr">
        <is>
          <t>row_context</t>
        </is>
      </c>
      <c r="Q59" s="5" t="inlineStr">
        <is>
          <t>solid</t>
        </is>
      </c>
      <c r="R59" s="5" t="inlineStr">
        <is>
          <t>chemical_knowledge</t>
        </is>
      </c>
      <c r="S59" s="5" t="inlineStr">
        <is>
          <t>WT_PERCENT</t>
        </is>
      </c>
      <c r="T59" s="5" t="inlineStr">
        <is>
          <t>4.6</t>
        </is>
      </c>
      <c r="U59" s="5" t="inlineStr">
        <is>
          <t>DIRECT_WT</t>
        </is>
      </c>
      <c r="V59" s="5" t="inlineStr">
        <is>
          <t>Unit w/w% directly indicates weight percent, additive CSA is likely solid and in aqueous phase based on row context.</t>
        </is>
      </c>
      <c r="W59" s="5" t="inlineStr">
        <is>
          <t>CSA</t>
        </is>
      </c>
      <c r="X59" s="5" t="inlineStr">
        <is>
          <t>4.6</t>
        </is>
      </c>
      <c r="Y59" s="5" t="inlineStr">
        <is>
          <t>wt%</t>
        </is>
      </c>
      <c r="Z59" s="4" t="inlineStr">
        <is>
          <t>CSA</t>
        </is>
      </c>
      <c r="AA59" s="4" t="inlineStr">
        <is>
          <t>4.6</t>
        </is>
      </c>
      <c r="AB59" s="4" t="inlineStr">
        <is>
          <t>wt%</t>
        </is>
      </c>
      <c r="AC59" s="4" t="inlineStr">
        <is>
          <t>DIRECT_WT</t>
        </is>
      </c>
      <c r="AD59" s="4" t="inlineStr">
        <is>
          <t>Unit w/w% directly indicates weight percent, additive CSA is likely solid and in aqueous phase based on row context.</t>
        </is>
      </c>
      <c r="AE59" s="5" t="n">
        <v>0</v>
      </c>
      <c r="AF59" s="5" t="inlineStr">
        <is>
          <t>HIGH</t>
        </is>
      </c>
      <c r="AG59" s="5" t="b">
        <v>0</v>
      </c>
      <c r="AH59" s="5" t="inlineStr"/>
    </row>
    <row r="60">
      <c r="A60" s="5" t="n">
        <v>10</v>
      </c>
      <c r="B60" s="5" t="inlineStr">
        <is>
          <t>TFCM0.5</t>
        </is>
      </c>
      <c r="C60" s="5" t="inlineStr">
        <is>
          <t>additive</t>
        </is>
      </c>
      <c r="D60" s="5" t="inlineStr">
        <is>
          <t>添加剂</t>
        </is>
      </c>
      <c r="E60" s="5" t="n">
        <v>3</v>
      </c>
      <c r="F60" s="5" t="inlineStr">
        <is>
          <t>添加剂</t>
        </is>
      </c>
      <c r="G60" s="5" t="inlineStr">
        <is>
          <t>添加剂浓度</t>
        </is>
      </c>
      <c r="H60" s="5" t="inlineStr">
        <is>
          <t>添加剂浓度_单位</t>
        </is>
      </c>
      <c r="I60" s="5" t="inlineStr">
        <is>
          <t>Mim</t>
        </is>
      </c>
      <c r="J60" s="5" t="inlineStr">
        <is>
          <t>0.5</t>
        </is>
      </c>
      <c r="K60" s="5" t="inlineStr">
        <is>
          <t>w/w%</t>
        </is>
      </c>
      <c r="L60" s="5" t="inlineStr">
        <is>
          <t>Mim</t>
        </is>
      </c>
      <c r="M60" s="5" t="inlineStr">
        <is>
          <t>0.5</t>
        </is>
      </c>
      <c r="N60" s="5" t="inlineStr">
        <is>
          <t>w/w%</t>
        </is>
      </c>
      <c r="O60" s="5" t="inlineStr">
        <is>
          <t>aqueous</t>
        </is>
      </c>
      <c r="P60" s="5" t="inlineStr">
        <is>
          <t>row_context</t>
        </is>
      </c>
      <c r="Q60" s="5" t="inlineStr">
        <is>
          <t>unknown</t>
        </is>
      </c>
      <c r="R60" s="5" t="inlineStr">
        <is>
          <t>unknown</t>
        </is>
      </c>
      <c r="S60" s="5" t="inlineStr">
        <is>
          <t>WT_PERCENT</t>
        </is>
      </c>
      <c r="T60" s="5" t="inlineStr">
        <is>
          <t>0.5</t>
        </is>
      </c>
      <c r="U60" s="5" t="inlineStr">
        <is>
          <t>DIRECT_WT</t>
        </is>
      </c>
      <c r="V60" s="5" t="inlineStr">
        <is>
          <t>Unit w/w% indicates weight percent, mapping is one-to-one, and additive likely in aqueous phase based on row context.</t>
        </is>
      </c>
      <c r="W60" s="5" t="inlineStr">
        <is>
          <t>Mim</t>
        </is>
      </c>
      <c r="X60" s="5" t="inlineStr">
        <is>
          <t>0.5</t>
        </is>
      </c>
      <c r="Y60" s="5" t="inlineStr">
        <is>
          <t>wt%</t>
        </is>
      </c>
      <c r="Z60" s="4" t="inlineStr">
        <is>
          <t>Mim</t>
        </is>
      </c>
      <c r="AA60" s="4" t="inlineStr">
        <is>
          <t>0.5</t>
        </is>
      </c>
      <c r="AB60" s="4" t="inlineStr">
        <is>
          <t>wt%</t>
        </is>
      </c>
      <c r="AC60" s="4" t="inlineStr">
        <is>
          <t>DIRECT_WT</t>
        </is>
      </c>
      <c r="AD60" s="4" t="inlineStr">
        <is>
          <t>Unit w/w% indicates weight percent, mapping is one-to-one, and additive likely in aqueous phase based on row context.</t>
        </is>
      </c>
      <c r="AE60" s="5" t="n">
        <v>0</v>
      </c>
      <c r="AF60" s="5" t="inlineStr">
        <is>
          <t>HIGH</t>
        </is>
      </c>
      <c r="AG60" s="5" t="b">
        <v>0</v>
      </c>
      <c r="AH60" s="5" t="inlineStr"/>
    </row>
    <row r="61">
      <c r="A61" s="5" t="n">
        <v>10</v>
      </c>
      <c r="B61" s="5" t="inlineStr">
        <is>
          <t>TFCM0.5</t>
        </is>
      </c>
      <c r="C61" s="5" t="inlineStr">
        <is>
          <t>aqueous_monomer</t>
        </is>
      </c>
      <c r="D61" s="5" t="inlineStr">
        <is>
          <t>水相单体</t>
        </is>
      </c>
      <c r="E61" s="5" t="n">
        <v>1</v>
      </c>
      <c r="F61" s="5" t="inlineStr">
        <is>
          <t>水相单体</t>
        </is>
      </c>
      <c r="G61" s="5" t="inlineStr">
        <is>
          <t>水相单体浓度</t>
        </is>
      </c>
      <c r="H61" s="5" t="inlineStr">
        <is>
          <t>水相单体浓度_单位</t>
        </is>
      </c>
      <c r="I61" s="5" t="inlineStr">
        <is>
          <t>MPD</t>
        </is>
      </c>
      <c r="J61" s="5" t="inlineStr">
        <is>
          <t>2.0</t>
        </is>
      </c>
      <c r="K61" s="5" t="inlineStr">
        <is>
          <t>w/w%</t>
        </is>
      </c>
      <c r="L61" s="5" t="inlineStr">
        <is>
          <t>MPD</t>
        </is>
      </c>
      <c r="M61" s="5" t="inlineStr">
        <is>
          <t>2</t>
        </is>
      </c>
      <c r="N61" s="5" t="inlineStr">
        <is>
          <t>w/w%</t>
        </is>
      </c>
      <c r="O61" s="5" t="inlineStr">
        <is>
          <t>aqueous</t>
        </is>
      </c>
      <c r="P61" s="5" t="inlineStr">
        <is>
          <t>column_hint</t>
        </is>
      </c>
      <c r="Q61" s="5" t="inlineStr">
        <is>
          <t>solid</t>
        </is>
      </c>
      <c r="R61" s="5" t="inlineStr">
        <is>
          <t>chemical_knowledge</t>
        </is>
      </c>
      <c r="S61" s="5" t="inlineStr">
        <is>
          <t>WT_PERCENT</t>
        </is>
      </c>
      <c r="T61" s="5" t="inlineStr">
        <is>
          <t>2</t>
        </is>
      </c>
      <c r="U61" s="5" t="inlineStr">
        <is>
          <t>DIRECT_WT</t>
        </is>
      </c>
      <c r="V61" s="5" t="inlineStr">
        <is>
          <t>Clear single solute with explicit w/w% unit in aqueous phase.</t>
        </is>
      </c>
      <c r="W61" s="5" t="inlineStr">
        <is>
          <t>MPD</t>
        </is>
      </c>
      <c r="X61" s="5" t="inlineStr">
        <is>
          <t>2</t>
        </is>
      </c>
      <c r="Y61" s="5" t="inlineStr">
        <is>
          <t>wt%</t>
        </is>
      </c>
      <c r="Z61" s="4" t="inlineStr">
        <is>
          <t>MPD</t>
        </is>
      </c>
      <c r="AA61" s="4" t="inlineStr">
        <is>
          <t>2</t>
        </is>
      </c>
      <c r="AB61" s="4" t="inlineStr">
        <is>
          <t>wt%</t>
        </is>
      </c>
      <c r="AC61" s="4" t="inlineStr">
        <is>
          <t>DIRECT_WT</t>
        </is>
      </c>
      <c r="AD61" s="4" t="inlineStr">
        <is>
          <t>Clear single solute with explicit w/w% unit in aqueous phase.</t>
        </is>
      </c>
      <c r="AE61" s="5" t="n">
        <v>0</v>
      </c>
      <c r="AF61" s="5" t="inlineStr">
        <is>
          <t>HIGH</t>
        </is>
      </c>
      <c r="AG61" s="5" t="b">
        <v>0</v>
      </c>
      <c r="AH61" s="5" t="inlineStr"/>
    </row>
    <row r="62">
      <c r="A62" s="3" t="n">
        <v>10</v>
      </c>
      <c r="B62" s="3" t="inlineStr">
        <is>
          <t>TFCM0.5</t>
        </is>
      </c>
      <c r="C62" s="3" t="inlineStr">
        <is>
          <t>modifier</t>
        </is>
      </c>
      <c r="D62" s="3" t="inlineStr">
        <is>
          <t>改性剂</t>
        </is>
      </c>
      <c r="E62" s="3" t="n">
        <v>1</v>
      </c>
      <c r="F62" s="3" t="inlineStr">
        <is>
          <t>改性剂</t>
        </is>
      </c>
      <c r="G62" s="3" t="inlineStr">
        <is>
          <t>改性剂浓度</t>
        </is>
      </c>
      <c r="H62" s="3" t="inlineStr">
        <is>
          <t>改性剂浓度_单位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>
        <is>
          <t>unknown</t>
        </is>
      </c>
      <c r="P62" s="3" t="inlineStr">
        <is>
          <t>unknown</t>
        </is>
      </c>
      <c r="Q62" s="3" t="inlineStr">
        <is>
          <t>unknown</t>
        </is>
      </c>
      <c r="R62" s="3" t="inlineStr">
        <is>
          <t>unknown</t>
        </is>
      </c>
      <c r="S62" s="3" t="inlineStr">
        <is>
          <t>NOT_PERCENT_UNIT</t>
        </is>
      </c>
      <c r="T62" s="3" t="inlineStr"/>
      <c r="U62" s="3" t="inlineStr">
        <is>
          <t>FAILED_PARSE</t>
        </is>
      </c>
      <c r="V62" s="3" t="inlineStr">
        <is>
          <t>No modifier data provided in row context.</t>
        </is>
      </c>
      <c r="W62" s="3" t="inlineStr"/>
      <c r="X62" s="3" t="inlineStr"/>
      <c r="Y62" s="3" t="inlineStr"/>
      <c r="Z62" s="4" t="inlineStr"/>
      <c r="AA62" s="4" t="inlineStr"/>
      <c r="AB62" s="4" t="inlineStr"/>
      <c r="AC62" s="4" t="inlineStr">
        <is>
          <t>FAILED_PARSE</t>
        </is>
      </c>
      <c r="AD62" s="4" t="inlineStr">
        <is>
          <t>No modifier data provided in row context.</t>
        </is>
      </c>
      <c r="AE62" s="3" t="n">
        <v>2</v>
      </c>
      <c r="AF62" s="3" t="inlineStr">
        <is>
          <t>HIGH</t>
        </is>
      </c>
      <c r="AG62" s="3" t="b">
        <v>0</v>
      </c>
      <c r="AH62" s="3" t="inlineStr"/>
    </row>
    <row r="63">
      <c r="A63" s="3" t="n">
        <v>10</v>
      </c>
      <c r="B63" s="3" t="inlineStr">
        <is>
          <t>TFCM0.5</t>
        </is>
      </c>
      <c r="C63" s="3" t="inlineStr">
        <is>
          <t>organic_monomer</t>
        </is>
      </c>
      <c r="D63" s="3" t="inlineStr">
        <is>
          <t>油相单体</t>
        </is>
      </c>
      <c r="E63" s="3" t="n">
        <v>1</v>
      </c>
      <c r="F63" s="3" t="inlineStr">
        <is>
          <t>油相单体</t>
        </is>
      </c>
      <c r="G63" s="3" t="inlineStr">
        <is>
          <t>油相单体浓度</t>
        </is>
      </c>
      <c r="H63" s="3" t="inlineStr">
        <is>
          <t>油相单体浓度_单位</t>
        </is>
      </c>
      <c r="I63" s="3" t="inlineStr">
        <is>
          <t>TMC</t>
        </is>
      </c>
      <c r="J63" s="3" t="inlineStr">
        <is>
          <t>0.1</t>
        </is>
      </c>
      <c r="K63" s="3" t="inlineStr">
        <is>
          <t>w/v%</t>
        </is>
      </c>
      <c r="L63" s="3" t="inlineStr">
        <is>
          <t>TMC</t>
        </is>
      </c>
      <c r="M63" s="3" t="inlineStr">
        <is>
          <t>0.1</t>
        </is>
      </c>
      <c r="N63" s="3" t="inlineStr">
        <is>
          <t>w/v%</t>
        </is>
      </c>
      <c r="O63" s="3" t="inlineStr">
        <is>
          <t>organic</t>
        </is>
      </c>
      <c r="P63" s="3" t="inlineStr">
        <is>
          <t>column_hint</t>
        </is>
      </c>
      <c r="Q63" s="3" t="inlineStr">
        <is>
          <t>solid</t>
        </is>
      </c>
      <c r="R63" s="3" t="inlineStr">
        <is>
          <t>chemical_knowledge</t>
        </is>
      </c>
      <c r="S63" s="3" t="inlineStr">
        <is>
          <t>VOL_PERCENT</t>
        </is>
      </c>
      <c r="T63" s="3" t="inlineStr"/>
      <c r="U63" s="3" t="inlineStr">
        <is>
          <t>CANNOT_CONVERT</t>
        </is>
      </c>
      <c r="V63" s="3" t="inlineStr">
        <is>
          <t>Unit w/v% indicates volume percent, but conversion to wt% requires density and molecular weight not provided in context.</t>
        </is>
      </c>
      <c r="W63" s="3" t="inlineStr">
        <is>
          <t>TMC</t>
        </is>
      </c>
      <c r="X63" s="3" t="inlineStr">
        <is>
          <t>0.1</t>
        </is>
      </c>
      <c r="Y63" s="3" t="inlineStr">
        <is>
          <t>w/v%</t>
        </is>
      </c>
      <c r="Z63" s="4" t="inlineStr">
        <is>
          <t>TMC</t>
        </is>
      </c>
      <c r="AA63" s="4" t="inlineStr">
        <is>
          <t>0.1</t>
        </is>
      </c>
      <c r="AB63" s="4" t="inlineStr">
        <is>
          <t>w/v%</t>
        </is>
      </c>
      <c r="AC63" s="4" t="inlineStr">
        <is>
          <t>CANNOT_CONVERT</t>
        </is>
      </c>
      <c r="AD63" s="4" t="inlineStr">
        <is>
          <t>Unit w/v% indicates volume percent, but conversion to wt% requires density and molecular weight not provided in context.</t>
        </is>
      </c>
      <c r="AE63" s="3" t="n">
        <v>2</v>
      </c>
      <c r="AF63" s="3" t="inlineStr">
        <is>
          <t>MEDIUM</t>
        </is>
      </c>
      <c r="AG63" s="3" t="b">
        <v>1</v>
      </c>
      <c r="AH63" s="3" t="inlineStr">
        <is>
          <t>DENSITY; MOLECULAR_WEIGHT</t>
        </is>
      </c>
    </row>
    <row r="64">
      <c r="A64" s="5" t="n">
        <v>10</v>
      </c>
      <c r="B64" s="5" t="inlineStr">
        <is>
          <t>TFCM0.5</t>
        </is>
      </c>
      <c r="C64" s="5" t="inlineStr">
        <is>
          <t>test_nacl</t>
        </is>
      </c>
      <c r="D64" s="5" t="inlineStr">
        <is>
          <t>测试NaCl</t>
        </is>
      </c>
      <c r="E64" s="5" t="n">
        <v>1</v>
      </c>
      <c r="F64" s="5" t="inlineStr"/>
      <c r="G64" s="5" t="inlineStr">
        <is>
          <t>测试NaCl浓度</t>
        </is>
      </c>
      <c r="H64" s="5" t="inlineStr">
        <is>
          <t>测试NaCl浓度_单位</t>
        </is>
      </c>
      <c r="I64" s="5" t="inlineStr">
        <is>
          <t>NaCl</t>
        </is>
      </c>
      <c r="J64" s="5" t="inlineStr">
        <is>
          <t>2000.0</t>
        </is>
      </c>
      <c r="K64" s="5" t="inlineStr">
        <is>
          <t>mg/L</t>
        </is>
      </c>
      <c r="L64" s="5" t="inlineStr">
        <is>
          <t>NaCl</t>
        </is>
      </c>
      <c r="M64" s="5" t="inlineStr">
        <is>
          <t>2000</t>
        </is>
      </c>
      <c r="N64" s="5" t="inlineStr">
        <is>
          <t>mg/L</t>
        </is>
      </c>
      <c r="O64" s="5" t="inlineStr">
        <is>
          <t>test_aqueous</t>
        </is>
      </c>
      <c r="P64" s="5" t="inlineStr">
        <is>
          <t>column_hint</t>
        </is>
      </c>
      <c r="Q64" s="5" t="inlineStr">
        <is>
          <t>solid</t>
        </is>
      </c>
      <c r="R64" s="5" t="inlineStr">
        <is>
          <t>chemical_knowledge</t>
        </is>
      </c>
      <c r="S64" s="5" t="inlineStr">
        <is>
          <t>NOT_PERCENT_UNIT</t>
        </is>
      </c>
      <c r="T64" s="5" t="inlineStr">
        <is>
          <t>0.2</t>
        </is>
      </c>
      <c r="U64" s="5" t="inlineStr">
        <is>
          <t>SAFE_CONVERTED</t>
        </is>
      </c>
      <c r="V64" s="5" t="inlineStr">
        <is>
          <t>NaCl concentration in mg/L can be safely converted to wt% assuming solution density ~1 g/mL.</t>
        </is>
      </c>
      <c r="W64" s="5" t="inlineStr">
        <is>
          <t>NaCl</t>
        </is>
      </c>
      <c r="X64" s="5" t="inlineStr">
        <is>
          <t>0.2</t>
        </is>
      </c>
      <c r="Y64" s="5" t="inlineStr">
        <is>
          <t>wt%</t>
        </is>
      </c>
      <c r="Z64" s="4" t="inlineStr">
        <is>
          <t>NaCl</t>
        </is>
      </c>
      <c r="AA64" s="4" t="inlineStr">
        <is>
          <t>0.2</t>
        </is>
      </c>
      <c r="AB64" s="4" t="inlineStr">
        <is>
          <t>wt%</t>
        </is>
      </c>
      <c r="AC64" s="4" t="inlineStr">
        <is>
          <t>SAFE_CONVERTED</t>
        </is>
      </c>
      <c r="AD64" s="4" t="inlineStr">
        <is>
          <t>NaCl concentration in mg/L can be safely converted to wt% assuming solution density ~1 g/mL.</t>
        </is>
      </c>
      <c r="AE64" s="5" t="n">
        <v>0</v>
      </c>
      <c r="AF64" s="5" t="inlineStr">
        <is>
          <t>HIGH</t>
        </is>
      </c>
      <c r="AG64" s="5" t="b">
        <v>0</v>
      </c>
      <c r="AH64" s="5" t="inlineStr"/>
    </row>
    <row r="65">
      <c r="A65" s="3" t="n">
        <v>11</v>
      </c>
      <c r="B65" s="3" t="inlineStr">
        <is>
          <t>Filmtec-SW30HR-g-3SBMA</t>
        </is>
      </c>
      <c r="C65" s="3" t="inlineStr">
        <is>
          <t>additive</t>
        </is>
      </c>
      <c r="D65" s="3" t="inlineStr">
        <is>
          <t>添加剂</t>
        </is>
      </c>
      <c r="E65" s="3" t="n">
        <v>1</v>
      </c>
      <c r="F65" s="3" t="inlineStr">
        <is>
          <t>添加剂</t>
        </is>
      </c>
      <c r="G65" s="3" t="inlineStr">
        <is>
          <t>添加剂浓度</t>
        </is>
      </c>
      <c r="H65" s="3" t="inlineStr">
        <is>
          <t>添加剂浓度_单位</t>
        </is>
      </c>
      <c r="I65" s="3" t="inlineStr">
        <is>
          <t>Triethylamine</t>
        </is>
      </c>
      <c r="J65" s="3" t="inlineStr">
        <is>
          <t>0.111</t>
        </is>
      </c>
      <c r="K65" s="3" t="inlineStr">
        <is>
          <t>M</t>
        </is>
      </c>
      <c r="L65" s="3" t="inlineStr">
        <is>
          <t>Triethylamine</t>
        </is>
      </c>
      <c r="M65" s="3" t="inlineStr">
        <is>
          <t>0.111</t>
        </is>
      </c>
      <c r="N65" s="3" t="inlineStr">
        <is>
          <t>M</t>
        </is>
      </c>
      <c r="O65" s="3" t="inlineStr">
        <is>
          <t>organic</t>
        </is>
      </c>
      <c r="P65" s="3" t="inlineStr">
        <is>
          <t>row_context</t>
        </is>
      </c>
      <c r="Q65" s="3" t="inlineStr">
        <is>
          <t>liquid</t>
        </is>
      </c>
      <c r="R65" s="3" t="inlineStr">
        <is>
          <t>chemical_knowledge</t>
        </is>
      </c>
      <c r="S65" s="3" t="inlineStr">
        <is>
          <t>NOT_PERCENT_UNIT</t>
        </is>
      </c>
      <c r="T65" s="3" t="inlineStr"/>
      <c r="U65" s="3" t="inlineStr">
        <is>
          <t>CANNOT_CONVERT</t>
        </is>
      </c>
      <c r="V65" s="3" t="inlineStr">
        <is>
          <t>Molar concentration requires molecular weight and density for conversion to wt%, which are not provided in context.</t>
        </is>
      </c>
      <c r="W65" s="3" t="inlineStr">
        <is>
          <t>Triethylamine</t>
        </is>
      </c>
      <c r="X65" s="3" t="inlineStr">
        <is>
          <t>0.111</t>
        </is>
      </c>
      <c r="Y65" s="3" t="inlineStr">
        <is>
          <t>M</t>
        </is>
      </c>
      <c r="Z65" s="4" t="inlineStr">
        <is>
          <t>Triethylamine</t>
        </is>
      </c>
      <c r="AA65" s="4" t="inlineStr">
        <is>
          <t>0.111</t>
        </is>
      </c>
      <c r="AB65" s="4" t="inlineStr">
        <is>
          <t>M</t>
        </is>
      </c>
      <c r="AC65" s="4" t="inlineStr">
        <is>
          <t>CANNOT_CONVERT</t>
        </is>
      </c>
      <c r="AD65" s="4" t="inlineStr">
        <is>
          <t>Molar concentration requires molecular weight and density for conversion to wt%, which are not provided in context.</t>
        </is>
      </c>
      <c r="AE65" s="3" t="n">
        <v>2</v>
      </c>
      <c r="AF65" s="3" t="inlineStr">
        <is>
          <t>MEDIUM</t>
        </is>
      </c>
      <c r="AG65" s="3" t="b">
        <v>1</v>
      </c>
      <c r="AH65" s="3" t="inlineStr">
        <is>
          <t>MOLECULAR_WEIGHT; DENSITY; SOLVENT_TYPE</t>
        </is>
      </c>
    </row>
    <row r="66">
      <c r="A66" s="3" t="n">
        <v>11</v>
      </c>
      <c r="B66" s="3" t="inlineStr">
        <is>
          <t>Filmtec-SW30HR-g-3SBMA</t>
        </is>
      </c>
      <c r="C66" s="3" t="inlineStr">
        <is>
          <t>additive</t>
        </is>
      </c>
      <c r="D66" s="3" t="inlineStr">
        <is>
          <t>添加剂</t>
        </is>
      </c>
      <c r="E66" s="3" t="n">
        <v>2</v>
      </c>
      <c r="F66" s="3" t="inlineStr">
        <is>
          <t>添加剂</t>
        </is>
      </c>
      <c r="G66" s="3" t="inlineStr">
        <is>
          <t>添加剂浓度</t>
        </is>
      </c>
      <c r="H66" s="3" t="inlineStr">
        <is>
          <t>添加剂浓度_单位</t>
        </is>
      </c>
      <c r="I66" s="3" t="inlineStr">
        <is>
          <t>CuCl2</t>
        </is>
      </c>
      <c r="J66" s="3" t="inlineStr">
        <is>
          <t>4.41e-5</t>
        </is>
      </c>
      <c r="K66" s="3" t="inlineStr">
        <is>
          <t>M</t>
        </is>
      </c>
      <c r="L66" s="3" t="inlineStr">
        <is>
          <t>CuCl2</t>
        </is>
      </c>
      <c r="M66" s="3" t="inlineStr">
        <is>
          <t>4.41e-05</t>
        </is>
      </c>
      <c r="N66" s="3" t="inlineStr">
        <is>
          <t>M</t>
        </is>
      </c>
      <c r="O66" s="3" t="inlineStr">
        <is>
          <t>unknown</t>
        </is>
      </c>
      <c r="P66" s="3" t="inlineStr">
        <is>
          <t>unknown</t>
        </is>
      </c>
      <c r="Q66" s="3" t="inlineStr">
        <is>
          <t>solid</t>
        </is>
      </c>
      <c r="R66" s="3" t="inlineStr">
        <is>
          <t>chemical_knowledge</t>
        </is>
      </c>
      <c r="S66" s="3" t="inlineStr">
        <is>
          <t>NOT_PERCENT_UNIT</t>
        </is>
      </c>
      <c r="T66" s="3" t="inlineStr"/>
      <c r="U66" s="3" t="inlineStr">
        <is>
          <t>CANNOT_CONVERT</t>
        </is>
      </c>
      <c r="V66" s="3" t="inlineStr">
        <is>
          <t>CuCl2 concentration in molarity requires solvent, molecular weight, and density for conversion to wt%, which are not provided in context.</t>
        </is>
      </c>
      <c r="W66" s="3" t="inlineStr">
        <is>
          <t>CuCl2</t>
        </is>
      </c>
      <c r="X66" s="3" t="inlineStr">
        <is>
          <t>4.41e-05</t>
        </is>
      </c>
      <c r="Y66" s="3" t="inlineStr">
        <is>
          <t>M</t>
        </is>
      </c>
      <c r="Z66" s="4" t="inlineStr">
        <is>
          <t>CuCl2</t>
        </is>
      </c>
      <c r="AA66" s="4" t="inlineStr">
        <is>
          <t>4.41e-05</t>
        </is>
      </c>
      <c r="AB66" s="4" t="inlineStr">
        <is>
          <t>M</t>
        </is>
      </c>
      <c r="AC66" s="4" t="inlineStr">
        <is>
          <t>CANNOT_CONVERT</t>
        </is>
      </c>
      <c r="AD66" s="4" t="inlineStr">
        <is>
          <t>CuCl2 concentration in molarity requires solvent, molecular weight, and density for conversion to wt%, which are not provided in context.</t>
        </is>
      </c>
      <c r="AE66" s="3" t="n">
        <v>2</v>
      </c>
      <c r="AF66" s="3" t="inlineStr">
        <is>
          <t>MEDIUM</t>
        </is>
      </c>
      <c r="AG66" s="3" t="b">
        <v>1</v>
      </c>
      <c r="AH66" s="3" t="inlineStr">
        <is>
          <t>SOLVENT_TYPE; MOLECULAR_WEIGHT; DENSITY</t>
        </is>
      </c>
    </row>
    <row r="67">
      <c r="A67" s="3" t="n">
        <v>11</v>
      </c>
      <c r="B67" s="3" t="inlineStr">
        <is>
          <t>Filmtec-SW30HR-g-3SBMA</t>
        </is>
      </c>
      <c r="C67" s="3" t="inlineStr">
        <is>
          <t>additive</t>
        </is>
      </c>
      <c r="D67" s="3" t="inlineStr">
        <is>
          <t>添加剂</t>
        </is>
      </c>
      <c r="E67" s="3" t="n">
        <v>3</v>
      </c>
      <c r="F67" s="3" t="inlineStr">
        <is>
          <t>添加剂</t>
        </is>
      </c>
      <c r="G67" s="3" t="inlineStr">
        <is>
          <t>添加剂浓度</t>
        </is>
      </c>
      <c r="H67" s="3" t="inlineStr">
        <is>
          <t>添加剂浓度_单位</t>
        </is>
      </c>
      <c r="I67" s="3" t="inlineStr">
        <is>
          <t>TPMA</t>
        </is>
      </c>
      <c r="J67" s="3" t="inlineStr">
        <is>
          <t>4.41e-4</t>
        </is>
      </c>
      <c r="K67" s="3" t="inlineStr">
        <is>
          <t>M</t>
        </is>
      </c>
      <c r="L67" s="3" t="inlineStr">
        <is>
          <t>TPMA</t>
        </is>
      </c>
      <c r="M67" s="3" t="inlineStr">
        <is>
          <t>0.000441</t>
        </is>
      </c>
      <c r="N67" s="3" t="inlineStr">
        <is>
          <t>M</t>
        </is>
      </c>
      <c r="O67" s="3" t="inlineStr">
        <is>
          <t>unknown</t>
        </is>
      </c>
      <c r="P67" s="3" t="inlineStr">
        <is>
          <t>unknown</t>
        </is>
      </c>
      <c r="Q67" s="3" t="inlineStr">
        <is>
          <t>unknown</t>
        </is>
      </c>
      <c r="R67" s="3" t="inlineStr">
        <is>
          <t>unknown</t>
        </is>
      </c>
      <c r="S67" s="3" t="inlineStr">
        <is>
          <t>NOT_PERCENT_UNIT</t>
        </is>
      </c>
      <c r="T67" s="3" t="inlineStr"/>
      <c r="U67" s="3" t="inlineStr">
        <is>
          <t>CANNOT_CONVERT</t>
        </is>
      </c>
      <c r="V67" s="3" t="inlineStr">
        <is>
          <t>TPMA identity and phase unclear; molarity conversion requires molecular weight and density not provided.</t>
        </is>
      </c>
      <c r="W67" s="3" t="inlineStr">
        <is>
          <t>TPMA</t>
        </is>
      </c>
      <c r="X67" s="3" t="inlineStr">
        <is>
          <t>0.000441</t>
        </is>
      </c>
      <c r="Y67" s="3" t="inlineStr">
        <is>
          <t>M</t>
        </is>
      </c>
      <c r="Z67" s="4" t="inlineStr">
        <is>
          <t>TPMA</t>
        </is>
      </c>
      <c r="AA67" s="4" t="inlineStr">
        <is>
          <t>0.000441</t>
        </is>
      </c>
      <c r="AB67" s="4" t="inlineStr">
        <is>
          <t>M</t>
        </is>
      </c>
      <c r="AC67" s="4" t="inlineStr">
        <is>
          <t>CANNOT_CONVERT</t>
        </is>
      </c>
      <c r="AD67" s="4" t="inlineStr">
        <is>
          <t>TPMA identity and phase unclear; molarity conversion requires molecular weight and density not provided.</t>
        </is>
      </c>
      <c r="AE67" s="3" t="n">
        <v>2</v>
      </c>
      <c r="AF67" s="3" t="inlineStr">
        <is>
          <t>LOW</t>
        </is>
      </c>
      <c r="AG67" s="3" t="b">
        <v>1</v>
      </c>
      <c r="AH67" s="3" t="inlineStr">
        <is>
          <t>SOLUTE_IDENTITY; PHASE_TYPE; MOLECULAR_WEIGHT; DENSITY</t>
        </is>
      </c>
    </row>
    <row r="68">
      <c r="A68" s="3" t="n">
        <v>11</v>
      </c>
      <c r="B68" s="3" t="inlineStr">
        <is>
          <t>Filmtec-SW30HR-g-3SBMA</t>
        </is>
      </c>
      <c r="C68" s="3" t="inlineStr">
        <is>
          <t>additive</t>
        </is>
      </c>
      <c r="D68" s="3" t="inlineStr">
        <is>
          <t>添加剂</t>
        </is>
      </c>
      <c r="E68" s="3" t="n">
        <v>4</v>
      </c>
      <c r="F68" s="3" t="inlineStr">
        <is>
          <t>添加剂</t>
        </is>
      </c>
      <c r="G68" s="3" t="inlineStr">
        <is>
          <t>添加剂浓度</t>
        </is>
      </c>
      <c r="H68" s="3" t="inlineStr">
        <is>
          <t>添加剂浓度_单位</t>
        </is>
      </c>
      <c r="I68" s="3" t="inlineStr">
        <is>
          <t>Ascorbic acid</t>
        </is>
      </c>
      <c r="J68" s="3" t="inlineStr">
        <is>
          <t>0.68</t>
        </is>
      </c>
      <c r="K68" s="3" t="inlineStr">
        <is>
          <t>M</t>
        </is>
      </c>
      <c r="L68" s="3" t="inlineStr">
        <is>
          <t>Ascorbic acid</t>
        </is>
      </c>
      <c r="M68" s="3" t="inlineStr">
        <is>
          <t>0.68</t>
        </is>
      </c>
      <c r="N68" s="3" t="inlineStr">
        <is>
          <t>M</t>
        </is>
      </c>
      <c r="O68" s="3" t="inlineStr">
        <is>
          <t>aqueous</t>
        </is>
      </c>
      <c r="P68" s="3" t="inlineStr">
        <is>
          <t>row_context</t>
        </is>
      </c>
      <c r="Q68" s="3" t="inlineStr">
        <is>
          <t>solid</t>
        </is>
      </c>
      <c r="R68" s="3" t="inlineStr">
        <is>
          <t>chemical_knowledge</t>
        </is>
      </c>
      <c r="S68" s="3" t="inlineStr">
        <is>
          <t>NOT_PERCENT_UNIT</t>
        </is>
      </c>
      <c r="T68" s="3" t="inlineStr"/>
      <c r="U68" s="3" t="inlineStr">
        <is>
          <t>CANNOT_CONVERT</t>
        </is>
      </c>
      <c r="V68" s="3" t="inlineStr">
        <is>
          <t>Ascorbic acid is a solid additive with molar concentration in an aqueous phase, but conversion to wt% requires molecular weight, density, and solvent information not provided.</t>
        </is>
      </c>
      <c r="W68" s="3" t="inlineStr">
        <is>
          <t>Ascorbic acid</t>
        </is>
      </c>
      <c r="X68" s="3" t="inlineStr">
        <is>
          <t>0.68</t>
        </is>
      </c>
      <c r="Y68" s="3" t="inlineStr">
        <is>
          <t>M</t>
        </is>
      </c>
      <c r="Z68" s="4" t="inlineStr">
        <is>
          <t>Ascorbic acid</t>
        </is>
      </c>
      <c r="AA68" s="4" t="inlineStr">
        <is>
          <t>0.68</t>
        </is>
      </c>
      <c r="AB68" s="4" t="inlineStr">
        <is>
          <t>M</t>
        </is>
      </c>
      <c r="AC68" s="4" t="inlineStr">
        <is>
          <t>CANNOT_CONVERT</t>
        </is>
      </c>
      <c r="AD68" s="4" t="inlineStr">
        <is>
          <t>Ascorbic acid is a solid additive with molar concentration in an aqueous phase, but conversion to wt% requires molecular weight, density, and solvent information not provided.</t>
        </is>
      </c>
      <c r="AE68" s="3" t="n">
        <v>2</v>
      </c>
      <c r="AF68" s="3" t="inlineStr">
        <is>
          <t>MEDIUM</t>
        </is>
      </c>
      <c r="AG68" s="3" t="b">
        <v>1</v>
      </c>
      <c r="AH68" s="3" t="inlineStr">
        <is>
          <t>MOLECULAR_WEIGHT; DENSITY; SOLVENT_TYPE</t>
        </is>
      </c>
    </row>
    <row r="69">
      <c r="A69" s="3" t="n">
        <v>11</v>
      </c>
      <c r="B69" s="3" t="inlineStr">
        <is>
          <t>Filmtec-SW30HR-g-3SBMA</t>
        </is>
      </c>
      <c r="C69" s="3" t="inlineStr">
        <is>
          <t>aqueous_monomer</t>
        </is>
      </c>
      <c r="D69" s="3" t="inlineStr">
        <is>
          <t>水相单体</t>
        </is>
      </c>
      <c r="E69" s="3" t="n">
        <v>1</v>
      </c>
      <c r="F69" s="3" t="inlineStr">
        <is>
          <t>水相单体</t>
        </is>
      </c>
      <c r="G69" s="3" t="inlineStr">
        <is>
          <t>水相单体浓度</t>
        </is>
      </c>
      <c r="H69" s="3" t="inlineStr">
        <is>
          <t>水相单体浓度_单位</t>
        </is>
      </c>
      <c r="I69" s="3" t="inlineStr">
        <is>
          <t>3-SBMA</t>
        </is>
      </c>
      <c r="J69" s="3" t="inlineStr">
        <is>
          <t>0.219</t>
        </is>
      </c>
      <c r="K69" s="3" t="inlineStr">
        <is>
          <t>M</t>
        </is>
      </c>
      <c r="L69" s="3" t="inlineStr">
        <is>
          <t>3-SBMA</t>
        </is>
      </c>
      <c r="M69" s="3" t="inlineStr">
        <is>
          <t>0.219</t>
        </is>
      </c>
      <c r="N69" s="3" t="inlineStr">
        <is>
          <t>M</t>
        </is>
      </c>
      <c r="O69" s="3" t="inlineStr">
        <is>
          <t>aqueous</t>
        </is>
      </c>
      <c r="P69" s="3" t="inlineStr">
        <is>
          <t>column_hint</t>
        </is>
      </c>
      <c r="Q69" s="3" t="inlineStr">
        <is>
          <t>unknown</t>
        </is>
      </c>
      <c r="R69" s="3" t="inlineStr">
        <is>
          <t>unknown</t>
        </is>
      </c>
      <c r="S69" s="3" t="inlineStr">
        <is>
          <t>NOT_PERCENT_UNIT</t>
        </is>
      </c>
      <c r="T69" s="3" t="inlineStr"/>
      <c r="U69" s="3" t="inlineStr">
        <is>
          <t>CANNOT_CONVERT</t>
        </is>
      </c>
      <c r="V69" s="3" t="inlineStr">
        <is>
          <t>Unit is molarity (M), requiring molecular weight and density for conversion to wt%, which are not provided in context.</t>
        </is>
      </c>
      <c r="W69" s="3" t="inlineStr">
        <is>
          <t>3-SBMA</t>
        </is>
      </c>
      <c r="X69" s="3" t="inlineStr">
        <is>
          <t>0.219</t>
        </is>
      </c>
      <c r="Y69" s="3" t="inlineStr">
        <is>
          <t>M</t>
        </is>
      </c>
      <c r="Z69" s="4" t="inlineStr">
        <is>
          <t>3-SBMA</t>
        </is>
      </c>
      <c r="AA69" s="4" t="inlineStr">
        <is>
          <t>0.219</t>
        </is>
      </c>
      <c r="AB69" s="4" t="inlineStr">
        <is>
          <t>M</t>
        </is>
      </c>
      <c r="AC69" s="4" t="inlineStr">
        <is>
          <t>CANNOT_CONVERT</t>
        </is>
      </c>
      <c r="AD69" s="4" t="inlineStr">
        <is>
          <t>Unit is molarity (M), requiring molecular weight and density for conversion to wt%, which are not provided in context.</t>
        </is>
      </c>
      <c r="AE69" s="3" t="n">
        <v>2</v>
      </c>
      <c r="AF69" s="3" t="inlineStr">
        <is>
          <t>HIGH</t>
        </is>
      </c>
      <c r="AG69" s="3" t="b">
        <v>0</v>
      </c>
      <c r="AH69" s="3" t="inlineStr"/>
    </row>
    <row r="70">
      <c r="A70" s="3" t="n">
        <v>11</v>
      </c>
      <c r="B70" s="3" t="inlineStr">
        <is>
          <t>Filmtec-SW30HR-g-3SBMA</t>
        </is>
      </c>
      <c r="C70" s="3" t="inlineStr">
        <is>
          <t>modifier</t>
        </is>
      </c>
      <c r="D70" s="3" t="inlineStr">
        <is>
          <t>改性剂</t>
        </is>
      </c>
      <c r="E70" s="3" t="n">
        <v>1</v>
      </c>
      <c r="F70" s="3" t="inlineStr">
        <is>
          <t>改性剂</t>
        </is>
      </c>
      <c r="G70" s="3" t="inlineStr">
        <is>
          <t>改性剂浓度</t>
        </is>
      </c>
      <c r="H70" s="3" t="inlineStr">
        <is>
          <t>改性剂浓度_单位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unknown</t>
        </is>
      </c>
      <c r="P70" s="3" t="inlineStr">
        <is>
          <t>unknown</t>
        </is>
      </c>
      <c r="Q70" s="3" t="inlineStr">
        <is>
          <t>unknown</t>
        </is>
      </c>
      <c r="R70" s="3" t="inlineStr">
        <is>
          <t>unknown</t>
        </is>
      </c>
      <c r="S70" s="3" t="inlineStr">
        <is>
          <t>NOT_PERCENT_UNIT</t>
        </is>
      </c>
      <c r="T70" s="3" t="inlineStr"/>
      <c r="U70" s="3" t="inlineStr">
        <is>
          <t>FAILED_PARSE</t>
        </is>
      </c>
      <c r="V70" s="3" t="inlineStr">
        <is>
          <t>Modifier slot is empty with no raw data provided.</t>
        </is>
      </c>
      <c r="W70" s="3" t="inlineStr"/>
      <c r="X70" s="3" t="inlineStr"/>
      <c r="Y70" s="3" t="inlineStr"/>
      <c r="Z70" s="4" t="inlineStr"/>
      <c r="AA70" s="4" t="inlineStr"/>
      <c r="AB70" s="4" t="inlineStr"/>
      <c r="AC70" s="4" t="inlineStr">
        <is>
          <t>FAILED_PARSE</t>
        </is>
      </c>
      <c r="AD70" s="4" t="inlineStr">
        <is>
          <t>Modifier slot is empty with no raw data provided.</t>
        </is>
      </c>
      <c r="AE70" s="3" t="n">
        <v>2</v>
      </c>
      <c r="AF70" s="3" t="inlineStr">
        <is>
          <t>HIGH</t>
        </is>
      </c>
      <c r="AG70" s="3" t="b">
        <v>0</v>
      </c>
      <c r="AH70" s="3" t="inlineStr"/>
    </row>
    <row r="71">
      <c r="A71" s="3" t="n">
        <v>11</v>
      </c>
      <c r="B71" s="3" t="inlineStr">
        <is>
          <t>Filmtec-SW30HR-g-3SBMA</t>
        </is>
      </c>
      <c r="C71" s="3" t="inlineStr">
        <is>
          <t>organic_monomer</t>
        </is>
      </c>
      <c r="D71" s="3" t="inlineStr">
        <is>
          <t>油相单体</t>
        </is>
      </c>
      <c r="E71" s="3" t="n">
        <v>1</v>
      </c>
      <c r="F71" s="3" t="inlineStr">
        <is>
          <t>油相单体</t>
        </is>
      </c>
      <c r="G71" s="3" t="inlineStr">
        <is>
          <t>油相单体浓度</t>
        </is>
      </c>
      <c r="H71" s="3" t="inlineStr">
        <is>
          <t>油相单体浓度_单位</t>
        </is>
      </c>
      <c r="I71" s="3" t="inlineStr">
        <is>
          <t>2-bromoisobutyryl bromide</t>
        </is>
      </c>
      <c r="J71" s="3" t="inlineStr">
        <is>
          <t>0.054</t>
        </is>
      </c>
      <c r="K71" s="3" t="inlineStr">
        <is>
          <t>M</t>
        </is>
      </c>
      <c r="L71" s="3" t="inlineStr">
        <is>
          <t>2-bromoisobutyryl bromide</t>
        </is>
      </c>
      <c r="M71" s="3" t="inlineStr">
        <is>
          <t>0.054</t>
        </is>
      </c>
      <c r="N71" s="3" t="inlineStr">
        <is>
          <t>M</t>
        </is>
      </c>
      <c r="O71" s="3" t="inlineStr">
        <is>
          <t>organic</t>
        </is>
      </c>
      <c r="P71" s="3" t="inlineStr">
        <is>
          <t>column_hint</t>
        </is>
      </c>
      <c r="Q71" s="3" t="inlineStr">
        <is>
          <t>liquid</t>
        </is>
      </c>
      <c r="R71" s="3" t="inlineStr">
        <is>
          <t>chemical_knowledge</t>
        </is>
      </c>
      <c r="S71" s="3" t="inlineStr">
        <is>
          <t>NOT_PERCENT_UNIT</t>
        </is>
      </c>
      <c r="T71" s="3" t="inlineStr"/>
      <c r="U71" s="3" t="inlineStr">
        <is>
          <t>CANNOT_CONVERT</t>
        </is>
      </c>
      <c r="V71" s="3" t="inlineStr">
        <is>
          <t>Unit is molarity (M), requiring molecular weight and density for conversion to wt%, which are not provided in context.</t>
        </is>
      </c>
      <c r="W71" s="3" t="inlineStr">
        <is>
          <t>2-bromoisobutyryl bromide</t>
        </is>
      </c>
      <c r="X71" s="3" t="inlineStr">
        <is>
          <t>0.054</t>
        </is>
      </c>
      <c r="Y71" s="3" t="inlineStr">
        <is>
          <t>M</t>
        </is>
      </c>
      <c r="Z71" s="4" t="inlineStr">
        <is>
          <t>2-bromoisobutyryl bromide</t>
        </is>
      </c>
      <c r="AA71" s="4" t="inlineStr">
        <is>
          <t>0.054</t>
        </is>
      </c>
      <c r="AB71" s="4" t="inlineStr">
        <is>
          <t>M</t>
        </is>
      </c>
      <c r="AC71" s="4" t="inlineStr">
        <is>
          <t>CANNOT_CONVERT</t>
        </is>
      </c>
      <c r="AD71" s="4" t="inlineStr">
        <is>
          <t>Unit is molarity (M), requiring molecular weight and density for conversion to wt%, which are not provided in context.</t>
        </is>
      </c>
      <c r="AE71" s="3" t="n">
        <v>2</v>
      </c>
      <c r="AF71" s="3" t="inlineStr">
        <is>
          <t>HIGH</t>
        </is>
      </c>
      <c r="AG71" s="3" t="b">
        <v>0</v>
      </c>
      <c r="AH71" s="3" t="inlineStr"/>
    </row>
    <row r="72">
      <c r="A72" s="5" t="n">
        <v>11</v>
      </c>
      <c r="B72" s="5" t="inlineStr">
        <is>
          <t>Filmtec-SW30HR-g-3SBMA</t>
        </is>
      </c>
      <c r="C72" s="5" t="inlineStr">
        <is>
          <t>test_nacl</t>
        </is>
      </c>
      <c r="D72" s="5" t="inlineStr">
        <is>
          <t>测试NaCl</t>
        </is>
      </c>
      <c r="E72" s="5" t="n">
        <v>1</v>
      </c>
      <c r="F72" s="5" t="inlineStr"/>
      <c r="G72" s="5" t="inlineStr">
        <is>
          <t>测试NaCl浓度</t>
        </is>
      </c>
      <c r="H72" s="5" t="inlineStr">
        <is>
          <t>测试NaCl浓度_单位</t>
        </is>
      </c>
      <c r="I72" s="5" t="inlineStr">
        <is>
          <t>NaCl</t>
        </is>
      </c>
      <c r="J72" s="5" t="inlineStr">
        <is>
          <t>36000.0</t>
        </is>
      </c>
      <c r="K72" s="5" t="inlineStr">
        <is>
          <t>ppm</t>
        </is>
      </c>
      <c r="L72" s="5" t="inlineStr">
        <is>
          <t>NaCl</t>
        </is>
      </c>
      <c r="M72" s="5" t="inlineStr">
        <is>
          <t>36000</t>
        </is>
      </c>
      <c r="N72" s="5" t="inlineStr">
        <is>
          <t>ppm</t>
        </is>
      </c>
      <c r="O72" s="5" t="inlineStr">
        <is>
          <t>test_aqueous</t>
        </is>
      </c>
      <c r="P72" s="5" t="inlineStr">
        <is>
          <t>column_hint</t>
        </is>
      </c>
      <c r="Q72" s="5" t="inlineStr">
        <is>
          <t>solid</t>
        </is>
      </c>
      <c r="R72" s="5" t="inlineStr">
        <is>
          <t>chemical_knowledge</t>
        </is>
      </c>
      <c r="S72" s="5" t="inlineStr">
        <is>
          <t>NOT_PERCENT_UNIT</t>
        </is>
      </c>
      <c r="T72" s="5" t="inlineStr">
        <is>
          <t>3.6</t>
        </is>
      </c>
      <c r="U72" s="5" t="inlineStr">
        <is>
          <t>SAFE_CONVERTED</t>
        </is>
      </c>
      <c r="V72" s="5" t="inlineStr">
        <is>
          <t>NaCl concentration in ppm can be directly converted to wt% using standard conversion factor.</t>
        </is>
      </c>
      <c r="W72" s="5" t="inlineStr">
        <is>
          <t>NaCl</t>
        </is>
      </c>
      <c r="X72" s="5" t="inlineStr">
        <is>
          <t>3.6</t>
        </is>
      </c>
      <c r="Y72" s="5" t="inlineStr">
        <is>
          <t>wt%</t>
        </is>
      </c>
      <c r="Z72" s="4" t="inlineStr">
        <is>
          <t>NaCl</t>
        </is>
      </c>
      <c r="AA72" s="4" t="inlineStr">
        <is>
          <t>3.6</t>
        </is>
      </c>
      <c r="AB72" s="4" t="inlineStr">
        <is>
          <t>wt%</t>
        </is>
      </c>
      <c r="AC72" s="4" t="inlineStr">
        <is>
          <t>SAFE_CONVERTED</t>
        </is>
      </c>
      <c r="AD72" s="4" t="inlineStr">
        <is>
          <t>NaCl concentration in ppm can be directly converted to wt% using standard conversion factor.</t>
        </is>
      </c>
      <c r="AE72" s="5" t="n">
        <v>0</v>
      </c>
      <c r="AF72" s="5" t="inlineStr">
        <is>
          <t>HIGH</t>
        </is>
      </c>
      <c r="AG72" s="5" t="b">
        <v>0</v>
      </c>
      <c r="AH72" s="5" t="inlineStr"/>
    </row>
    <row r="73">
      <c r="A73" s="3" t="n">
        <v>12</v>
      </c>
      <c r="B73" s="3" t="inlineStr">
        <is>
          <t>TFN0.1</t>
        </is>
      </c>
      <c r="C73" s="3" t="inlineStr">
        <is>
          <t>additive</t>
        </is>
      </c>
      <c r="D73" s="3" t="inlineStr">
        <is>
          <t>添加剂</t>
        </is>
      </c>
      <c r="E73" s="3" t="n">
        <v>1</v>
      </c>
      <c r="F73" s="3" t="inlineStr">
        <is>
          <t>添加剂</t>
        </is>
      </c>
      <c r="G73" s="3" t="inlineStr">
        <is>
          <t>添加剂浓度</t>
        </is>
      </c>
      <c r="H73" s="3" t="inlineStr">
        <is>
          <t>添加剂浓度_单位</t>
        </is>
      </c>
      <c r="I73" s="3" t="inlineStr">
        <is>
          <t>HNTs</t>
        </is>
      </c>
      <c r="J73" s="3" t="inlineStr">
        <is>
          <t>0.1</t>
        </is>
      </c>
      <c r="K73" s="3" t="inlineStr">
        <is>
          <t>wt/v%</t>
        </is>
      </c>
      <c r="L73" s="3" t="inlineStr">
        <is>
          <t>HNTs</t>
        </is>
      </c>
      <c r="M73" s="3" t="inlineStr">
        <is>
          <t>0.1</t>
        </is>
      </c>
      <c r="N73" s="3" t="inlineStr">
        <is>
          <t>wt/v%</t>
        </is>
      </c>
      <c r="O73" s="3" t="inlineStr">
        <is>
          <t>unknown</t>
        </is>
      </c>
      <c r="P73" s="3" t="inlineStr">
        <is>
          <t>unknown</t>
        </is>
      </c>
      <c r="Q73" s="3" t="inlineStr">
        <is>
          <t>solid</t>
        </is>
      </c>
      <c r="R73" s="3" t="inlineStr">
        <is>
          <t>chemical_knowledge</t>
        </is>
      </c>
      <c r="S73" s="3" t="inlineStr">
        <is>
          <t>WV_PERCENT</t>
        </is>
      </c>
      <c r="T73" s="3" t="inlineStr"/>
      <c r="U73" s="3" t="inlineStr">
        <is>
          <t>CANNOT_CONVERT</t>
        </is>
      </c>
      <c r="V73" s="3" t="inlineStr">
        <is>
          <t>Unit 'wt/v%' indicates weight/volume percent, but density of HNTs is unknown for conversion to wt%.</t>
        </is>
      </c>
      <c r="W73" s="3" t="inlineStr">
        <is>
          <t>HNTs</t>
        </is>
      </c>
      <c r="X73" s="3" t="inlineStr">
        <is>
          <t>0.1</t>
        </is>
      </c>
      <c r="Y73" s="3" t="inlineStr">
        <is>
          <t>wt/v%</t>
        </is>
      </c>
      <c r="Z73" s="4" t="inlineStr">
        <is>
          <t>HNTs</t>
        </is>
      </c>
      <c r="AA73" s="4" t="inlineStr">
        <is>
          <t>0.1</t>
        </is>
      </c>
      <c r="AB73" s="4" t="inlineStr">
        <is>
          <t>wt/v%</t>
        </is>
      </c>
      <c r="AC73" s="4" t="inlineStr">
        <is>
          <t>CANNOT_CONVERT</t>
        </is>
      </c>
      <c r="AD73" s="4" t="inlineStr">
        <is>
          <t>Unit 'wt/v%' indicates weight/volume percent, but density of HNTs is unknown for conversion to wt%.</t>
        </is>
      </c>
      <c r="AE73" s="3" t="n">
        <v>2</v>
      </c>
      <c r="AF73" s="3" t="inlineStr">
        <is>
          <t>MEDIUM</t>
        </is>
      </c>
      <c r="AG73" s="3" t="b">
        <v>1</v>
      </c>
      <c r="AH73" s="3" t="inlineStr">
        <is>
          <t>PHASE_TYPE; DENSITY</t>
        </is>
      </c>
    </row>
    <row r="74">
      <c r="A74" s="5" t="n">
        <v>12</v>
      </c>
      <c r="B74" s="5" t="inlineStr">
        <is>
          <t>TFN0.1</t>
        </is>
      </c>
      <c r="C74" s="5" t="inlineStr">
        <is>
          <t>aqueous_monomer</t>
        </is>
      </c>
      <c r="D74" s="5" t="inlineStr">
        <is>
          <t>水相单体</t>
        </is>
      </c>
      <c r="E74" s="5" t="n">
        <v>1</v>
      </c>
      <c r="F74" s="5" t="inlineStr">
        <is>
          <t>水相单体</t>
        </is>
      </c>
      <c r="G74" s="5" t="inlineStr">
        <is>
          <t>水相单体浓度</t>
        </is>
      </c>
      <c r="H74" s="5" t="inlineStr">
        <is>
          <t>水相单体浓度_单位</t>
        </is>
      </c>
      <c r="I74" s="5" t="inlineStr">
        <is>
          <t>MPD</t>
        </is>
      </c>
      <c r="J74" s="5" t="inlineStr">
        <is>
          <t>2.0</t>
        </is>
      </c>
      <c r="K74" s="5" t="inlineStr">
        <is>
          <t>wt%</t>
        </is>
      </c>
      <c r="L74" s="5" t="inlineStr">
        <is>
          <t>MPD</t>
        </is>
      </c>
      <c r="M74" s="5" t="inlineStr">
        <is>
          <t>2</t>
        </is>
      </c>
      <c r="N74" s="5" t="inlineStr">
        <is>
          <t>wt%</t>
        </is>
      </c>
      <c r="O74" s="5" t="inlineStr">
        <is>
          <t>aqueous</t>
        </is>
      </c>
      <c r="P74" s="5" t="inlineStr">
        <is>
          <t>column_hint</t>
        </is>
      </c>
      <c r="Q74" s="5" t="inlineStr">
        <is>
          <t>solid</t>
        </is>
      </c>
      <c r="R74" s="5" t="inlineStr">
        <is>
          <t>chemical_knowledge</t>
        </is>
      </c>
      <c r="S74" s="5" t="inlineStr">
        <is>
          <t>WT_PERCENT</t>
        </is>
      </c>
      <c r="T74" s="5" t="inlineStr">
        <is>
          <t>2</t>
        </is>
      </c>
      <c r="U74" s="5" t="inlineStr">
        <is>
          <t>DIRECT_WT</t>
        </is>
      </c>
      <c r="V74" s="5" t="inlineStr">
        <is>
          <t>Raw unit is wt%, solute is MPD from aqueous_monomer column, phase is aqueous, and value is numeric.</t>
        </is>
      </c>
      <c r="W74" s="5" t="inlineStr">
        <is>
          <t>MPD</t>
        </is>
      </c>
      <c r="X74" s="5" t="inlineStr">
        <is>
          <t>2</t>
        </is>
      </c>
      <c r="Y74" s="5" t="inlineStr">
        <is>
          <t>wt%</t>
        </is>
      </c>
      <c r="Z74" s="4" t="inlineStr">
        <is>
          <t>MPD</t>
        </is>
      </c>
      <c r="AA74" s="4" t="inlineStr">
        <is>
          <t>2</t>
        </is>
      </c>
      <c r="AB74" s="4" t="inlineStr">
        <is>
          <t>wt%</t>
        </is>
      </c>
      <c r="AC74" s="4" t="inlineStr">
        <is>
          <t>DIRECT_WT</t>
        </is>
      </c>
      <c r="AD74" s="4" t="inlineStr">
        <is>
          <t>Raw unit is wt%, solute is MPD from aqueous_monomer column, phase is aqueous, and value is numeric.</t>
        </is>
      </c>
      <c r="AE74" s="5" t="n">
        <v>0</v>
      </c>
      <c r="AF74" s="5" t="inlineStr">
        <is>
          <t>HIGH</t>
        </is>
      </c>
      <c r="AG74" s="5" t="b">
        <v>0</v>
      </c>
      <c r="AH74" s="5" t="inlineStr"/>
    </row>
    <row r="75">
      <c r="A75" s="3" t="n">
        <v>12</v>
      </c>
      <c r="B75" s="3" t="inlineStr">
        <is>
          <t>TFN0.1</t>
        </is>
      </c>
      <c r="C75" s="3" t="inlineStr">
        <is>
          <t>modifier</t>
        </is>
      </c>
      <c r="D75" s="3" t="inlineStr">
        <is>
          <t>改性剂</t>
        </is>
      </c>
      <c r="E75" s="3" t="n">
        <v>1</v>
      </c>
      <c r="F75" s="3" t="inlineStr">
        <is>
          <t>改性剂</t>
        </is>
      </c>
      <c r="G75" s="3" t="inlineStr">
        <is>
          <t>改性剂浓度</t>
        </is>
      </c>
      <c r="H75" s="3" t="inlineStr">
        <is>
          <t>改性剂浓度_单位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>
        <is>
          <t>unknown</t>
        </is>
      </c>
      <c r="P75" s="3" t="inlineStr">
        <is>
          <t>unknown</t>
        </is>
      </c>
      <c r="Q75" s="3" t="inlineStr">
        <is>
          <t>unknown</t>
        </is>
      </c>
      <c r="R75" s="3" t="inlineStr">
        <is>
          <t>unknown</t>
        </is>
      </c>
      <c r="S75" s="3" t="inlineStr">
        <is>
          <t>NOT_PERCENT_UNIT</t>
        </is>
      </c>
      <c r="T75" s="3" t="inlineStr"/>
      <c r="U75" s="3" t="inlineStr">
        <is>
          <t>FAILED_PARSE</t>
        </is>
      </c>
      <c r="V75" s="3" t="inlineStr">
        <is>
          <t>No modifier data provided in row context.</t>
        </is>
      </c>
      <c r="W75" s="3" t="inlineStr"/>
      <c r="X75" s="3" t="inlineStr"/>
      <c r="Y75" s="3" t="inlineStr"/>
      <c r="Z75" s="4" t="inlineStr"/>
      <c r="AA75" s="4" t="inlineStr"/>
      <c r="AB75" s="4" t="inlineStr"/>
      <c r="AC75" s="4" t="inlineStr">
        <is>
          <t>FAILED_PARSE</t>
        </is>
      </c>
      <c r="AD75" s="4" t="inlineStr">
        <is>
          <t>No modifier data provided in row context.</t>
        </is>
      </c>
      <c r="AE75" s="3" t="n">
        <v>2</v>
      </c>
      <c r="AF75" s="3" t="inlineStr">
        <is>
          <t>HIGH</t>
        </is>
      </c>
      <c r="AG75" s="3" t="b">
        <v>0</v>
      </c>
      <c r="AH75" s="3" t="inlineStr"/>
    </row>
    <row r="76">
      <c r="A76" s="5" t="n">
        <v>12</v>
      </c>
      <c r="B76" s="5" t="inlineStr">
        <is>
          <t>TFN0.1</t>
        </is>
      </c>
      <c r="C76" s="5" t="inlineStr">
        <is>
          <t>organic_monomer</t>
        </is>
      </c>
      <c r="D76" s="5" t="inlineStr">
        <is>
          <t>油相单体</t>
        </is>
      </c>
      <c r="E76" s="5" t="n">
        <v>1</v>
      </c>
      <c r="F76" s="5" t="inlineStr">
        <is>
          <t>油相单体</t>
        </is>
      </c>
      <c r="G76" s="5" t="inlineStr">
        <is>
          <t>油相单体浓度</t>
        </is>
      </c>
      <c r="H76" s="5" t="inlineStr">
        <is>
          <t>油相单体浓度_单位</t>
        </is>
      </c>
      <c r="I76" s="5" t="inlineStr">
        <is>
          <t>TMC</t>
        </is>
      </c>
      <c r="J76" s="5" t="inlineStr">
        <is>
          <t>0.1</t>
        </is>
      </c>
      <c r="K76" s="5" t="inlineStr">
        <is>
          <t>wt%</t>
        </is>
      </c>
      <c r="L76" s="5" t="inlineStr">
        <is>
          <t>TMC</t>
        </is>
      </c>
      <c r="M76" s="5" t="inlineStr">
        <is>
          <t>0.1</t>
        </is>
      </c>
      <c r="N76" s="5" t="inlineStr">
        <is>
          <t>wt%</t>
        </is>
      </c>
      <c r="O76" s="5" t="inlineStr">
        <is>
          <t>organic</t>
        </is>
      </c>
      <c r="P76" s="5" t="inlineStr">
        <is>
          <t>column_hint</t>
        </is>
      </c>
      <c r="Q76" s="5" t="inlineStr">
        <is>
          <t>solid</t>
        </is>
      </c>
      <c r="R76" s="5" t="inlineStr">
        <is>
          <t>chemical_knowledge</t>
        </is>
      </c>
      <c r="S76" s="5" t="inlineStr">
        <is>
          <t>WT_PERCENT</t>
        </is>
      </c>
      <c r="T76" s="5" t="inlineStr">
        <is>
          <t>0.1</t>
        </is>
      </c>
      <c r="U76" s="5" t="inlineStr">
        <is>
          <t>DIRECT_WT</t>
        </is>
      </c>
      <c r="V76" s="5" t="inlineStr">
        <is>
          <t>Unit is explicitly wt% and solute is clearly TMC in organic phase with solvent context.</t>
        </is>
      </c>
      <c r="W76" s="5" t="inlineStr">
        <is>
          <t>TMC</t>
        </is>
      </c>
      <c r="X76" s="5" t="inlineStr">
        <is>
          <t>0.1</t>
        </is>
      </c>
      <c r="Y76" s="5" t="inlineStr">
        <is>
          <t>wt%</t>
        </is>
      </c>
      <c r="Z76" s="4" t="inlineStr">
        <is>
          <t>TMC</t>
        </is>
      </c>
      <c r="AA76" s="4" t="inlineStr">
        <is>
          <t>0.1</t>
        </is>
      </c>
      <c r="AB76" s="4" t="inlineStr">
        <is>
          <t>wt%</t>
        </is>
      </c>
      <c r="AC76" s="4" t="inlineStr">
        <is>
          <t>DIRECT_WT</t>
        </is>
      </c>
      <c r="AD76" s="4" t="inlineStr">
        <is>
          <t>Unit is explicitly wt% and solute is clearly TMC in organic phase with solvent context.</t>
        </is>
      </c>
      <c r="AE76" s="5" t="n">
        <v>0</v>
      </c>
      <c r="AF76" s="5" t="inlineStr">
        <is>
          <t>HIGH</t>
        </is>
      </c>
      <c r="AG76" s="5" t="b">
        <v>0</v>
      </c>
      <c r="AH76" s="5" t="inlineStr"/>
    </row>
    <row r="77">
      <c r="A77" s="5" t="n">
        <v>12</v>
      </c>
      <c r="B77" s="5" t="inlineStr">
        <is>
          <t>TFN0.1</t>
        </is>
      </c>
      <c r="C77" s="5" t="inlineStr">
        <is>
          <t>test_nacl</t>
        </is>
      </c>
      <c r="D77" s="5" t="inlineStr">
        <is>
          <t>测试NaCl</t>
        </is>
      </c>
      <c r="E77" s="5" t="n">
        <v>1</v>
      </c>
      <c r="F77" s="5" t="inlineStr"/>
      <c r="G77" s="5" t="inlineStr">
        <is>
          <t>测试NaCl浓度</t>
        </is>
      </c>
      <c r="H77" s="5" t="inlineStr">
        <is>
          <t>测试NaCl浓度_单位</t>
        </is>
      </c>
      <c r="I77" s="5" t="inlineStr">
        <is>
          <t>NaCl</t>
        </is>
      </c>
      <c r="J77" s="5" t="inlineStr">
        <is>
          <t>2000.0</t>
        </is>
      </c>
      <c r="K77" s="5" t="inlineStr">
        <is>
          <t>ppm</t>
        </is>
      </c>
      <c r="L77" s="5" t="inlineStr">
        <is>
          <t>NaCl</t>
        </is>
      </c>
      <c r="M77" s="5" t="inlineStr">
        <is>
          <t>2000</t>
        </is>
      </c>
      <c r="N77" s="5" t="inlineStr">
        <is>
          <t>ppm</t>
        </is>
      </c>
      <c r="O77" s="5" t="inlineStr">
        <is>
          <t>test_aqueous</t>
        </is>
      </c>
      <c r="P77" s="5" t="inlineStr">
        <is>
          <t>column_hint</t>
        </is>
      </c>
      <c r="Q77" s="5" t="inlineStr">
        <is>
          <t>solid</t>
        </is>
      </c>
      <c r="R77" s="5" t="inlineStr">
        <is>
          <t>chemical_knowledge</t>
        </is>
      </c>
      <c r="S77" s="5" t="inlineStr">
        <is>
          <t>NOT_PERCENT_UNIT</t>
        </is>
      </c>
      <c r="T77" s="5" t="inlineStr">
        <is>
          <t>0.2</t>
        </is>
      </c>
      <c r="U77" s="5" t="inlineStr">
        <is>
          <t>SAFE_CONVERTED</t>
        </is>
      </c>
      <c r="V77" s="5" t="inlineStr">
        <is>
          <t>NaCl concentration in ppm is clearly defined and can be safely converted to wt% for aqueous solutions.</t>
        </is>
      </c>
      <c r="W77" s="5" t="inlineStr">
        <is>
          <t>NaCl</t>
        </is>
      </c>
      <c r="X77" s="5" t="inlineStr">
        <is>
          <t>0.2</t>
        </is>
      </c>
      <c r="Y77" s="5" t="inlineStr">
        <is>
          <t>wt%</t>
        </is>
      </c>
      <c r="Z77" s="4" t="inlineStr">
        <is>
          <t>NaCl</t>
        </is>
      </c>
      <c r="AA77" s="4" t="inlineStr">
        <is>
          <t>0.2</t>
        </is>
      </c>
      <c r="AB77" s="4" t="inlineStr">
        <is>
          <t>wt%</t>
        </is>
      </c>
      <c r="AC77" s="4" t="inlineStr">
        <is>
          <t>SAFE_CONVERTED</t>
        </is>
      </c>
      <c r="AD77" s="4" t="inlineStr">
        <is>
          <t>NaCl concentration in ppm is clearly defined and can be safely converted to wt% for aqueous solutions.</t>
        </is>
      </c>
      <c r="AE77" s="5" t="n">
        <v>0</v>
      </c>
      <c r="AF77" s="5" t="inlineStr">
        <is>
          <t>HIGH</t>
        </is>
      </c>
      <c r="AG77" s="5" t="b">
        <v>0</v>
      </c>
      <c r="AH77" s="5" t="inlineStr"/>
    </row>
    <row r="78">
      <c r="A78" s="3" t="n">
        <v>13</v>
      </c>
      <c r="B78" s="3" t="inlineStr">
        <is>
          <t>(0.1:0.013%) N-IPAAm/MBAAm/CA/CTA-RO membrane</t>
        </is>
      </c>
      <c r="C78" s="3" t="inlineStr">
        <is>
          <t>additive</t>
        </is>
      </c>
      <c r="D78" s="3" t="inlineStr">
        <is>
          <t>添加剂</t>
        </is>
      </c>
      <c r="E78" s="3" t="n">
        <v>1</v>
      </c>
      <c r="F78" s="3" t="inlineStr">
        <is>
          <t>添加剂</t>
        </is>
      </c>
      <c r="G78" s="3" t="inlineStr">
        <is>
          <t>添加剂浓度</t>
        </is>
      </c>
      <c r="H78" s="3" t="inlineStr">
        <is>
          <t>添加剂浓度_单位</t>
        </is>
      </c>
      <c r="I78" s="3" t="inlineStr">
        <is>
          <t>Potassium persulfate</t>
        </is>
      </c>
      <c r="J78" s="3" t="inlineStr">
        <is>
          <t>1.5</t>
        </is>
      </c>
      <c r="K78" s="3" t="inlineStr">
        <is>
          <t>%</t>
        </is>
      </c>
      <c r="L78" s="3" t="inlineStr">
        <is>
          <t>Potassium persulfate</t>
        </is>
      </c>
      <c r="M78" s="3" t="inlineStr">
        <is>
          <t>1.5</t>
        </is>
      </c>
      <c r="N78" s="3" t="inlineStr">
        <is>
          <t>%</t>
        </is>
      </c>
      <c r="O78" s="3" t="inlineStr">
        <is>
          <t>aqueous</t>
        </is>
      </c>
      <c r="P78" s="3" t="inlineStr">
        <is>
          <t>row_context</t>
        </is>
      </c>
      <c r="Q78" s="3" t="inlineStr">
        <is>
          <t>solid</t>
        </is>
      </c>
      <c r="R78" s="3" t="inlineStr">
        <is>
          <t>chemical_knowledge</t>
        </is>
      </c>
      <c r="S78" s="3" t="inlineStr">
        <is>
          <t>WT_PERCENT</t>
        </is>
      </c>
      <c r="T78" s="3" t="inlineStr">
        <is>
          <t>1.5</t>
        </is>
      </c>
      <c r="U78" s="3" t="inlineStr">
        <is>
          <t>ASSUMED_CONVERTED</t>
        </is>
      </c>
      <c r="V78" s="3" t="inlineStr">
        <is>
          <t>Unit '%' ambiguous; insufficient context to determine percent type or solvent for conversion.; plain % interpreted as wt% with solid-solute bias</t>
        </is>
      </c>
      <c r="W78" s="3" t="inlineStr">
        <is>
          <t>Potassium persulfate</t>
        </is>
      </c>
      <c r="X78" s="3" t="inlineStr">
        <is>
          <t>1.5</t>
        </is>
      </c>
      <c r="Y78" s="3" t="inlineStr">
        <is>
          <t>wt%</t>
        </is>
      </c>
      <c r="Z78" s="4" t="inlineStr">
        <is>
          <t>Potassium persulfate</t>
        </is>
      </c>
      <c r="AA78" s="4" t="inlineStr">
        <is>
          <t>1.5</t>
        </is>
      </c>
      <c r="AB78" s="4" t="inlineStr">
        <is>
          <t>wt%</t>
        </is>
      </c>
      <c r="AC78" s="4" t="inlineStr">
        <is>
          <t>ASSUMED_CONVERTED</t>
        </is>
      </c>
      <c r="AD78" s="4" t="inlineStr">
        <is>
          <t>Unit '%' ambiguous; insufficient context to determine percent type or solvent for conversion.; plain % interpreted as wt% with solid-solute bias</t>
        </is>
      </c>
      <c r="AE78" s="3" t="n">
        <v>2</v>
      </c>
      <c r="AF78" s="3" t="inlineStr">
        <is>
          <t>MEDIUM</t>
        </is>
      </c>
      <c r="AG78" s="3" t="b">
        <v>1</v>
      </c>
      <c r="AH78" s="3" t="inlineStr">
        <is>
          <t>PERCENT_TYPE; SOLVENT_TYPE; MOLECULAR_WEIGHT; DENSITY</t>
        </is>
      </c>
    </row>
    <row r="79">
      <c r="A79" s="3" t="n">
        <v>13</v>
      </c>
      <c r="B79" s="3" t="inlineStr">
        <is>
          <t>(0.1:0.013%) N-IPAAm/MBAAm/CA/CTA-RO membrane</t>
        </is>
      </c>
      <c r="C79" s="3" t="inlineStr">
        <is>
          <t>additive</t>
        </is>
      </c>
      <c r="D79" s="3" t="inlineStr">
        <is>
          <t>添加剂</t>
        </is>
      </c>
      <c r="E79" s="3" t="n">
        <v>2</v>
      </c>
      <c r="F79" s="3" t="inlineStr">
        <is>
          <t>添加剂</t>
        </is>
      </c>
      <c r="G79" s="3" t="inlineStr">
        <is>
          <t>添加剂浓度</t>
        </is>
      </c>
      <c r="H79" s="3" t="inlineStr">
        <is>
          <t>添加剂浓度_单位</t>
        </is>
      </c>
      <c r="I79" s="3" t="inlineStr">
        <is>
          <t>Sodium hydroxide</t>
        </is>
      </c>
      <c r="J79" s="3" t="inlineStr">
        <is>
          <t>0.014</t>
        </is>
      </c>
      <c r="K79" s="3" t="inlineStr">
        <is>
          <t>%</t>
        </is>
      </c>
      <c r="L79" s="3" t="inlineStr">
        <is>
          <t>Sodium hydroxide</t>
        </is>
      </c>
      <c r="M79" s="3" t="inlineStr">
        <is>
          <t>0.014</t>
        </is>
      </c>
      <c r="N79" s="3" t="inlineStr">
        <is>
          <t>%</t>
        </is>
      </c>
      <c r="O79" s="3" t="inlineStr">
        <is>
          <t>aqueous</t>
        </is>
      </c>
      <c r="P79" s="3" t="inlineStr">
        <is>
          <t>row_context</t>
        </is>
      </c>
      <c r="Q79" s="3" t="inlineStr">
        <is>
          <t>solid</t>
        </is>
      </c>
      <c r="R79" s="3" t="inlineStr">
        <is>
          <t>chemical_knowledge</t>
        </is>
      </c>
      <c r="S79" s="3" t="inlineStr">
        <is>
          <t>WT_PERCENT</t>
        </is>
      </c>
      <c r="T79" s="3" t="inlineStr">
        <is>
          <t>0.014</t>
        </is>
      </c>
      <c r="U79" s="3" t="inlineStr">
        <is>
          <t>ASSUMED_CONVERTED</t>
        </is>
      </c>
      <c r="V79" s="3" t="inlineStr">
        <is>
          <t>Sodium hydroxide is likely in aqueous phase, but '%' unit is ambiguous without context for percent type.; plain % interpreted as wt% with solid-solute bias</t>
        </is>
      </c>
      <c r="W79" s="3" t="inlineStr">
        <is>
          <t>Sodium hydroxide</t>
        </is>
      </c>
      <c r="X79" s="3" t="inlineStr">
        <is>
          <t>0.014</t>
        </is>
      </c>
      <c r="Y79" s="3" t="inlineStr">
        <is>
          <t>wt%</t>
        </is>
      </c>
      <c r="Z79" s="4" t="inlineStr">
        <is>
          <t>Sodium hydroxide</t>
        </is>
      </c>
      <c r="AA79" s="4" t="inlineStr">
        <is>
          <t>0.014</t>
        </is>
      </c>
      <c r="AB79" s="4" t="inlineStr">
        <is>
          <t>wt%</t>
        </is>
      </c>
      <c r="AC79" s="4" t="inlineStr">
        <is>
          <t>ASSUMED_CONVERTED</t>
        </is>
      </c>
      <c r="AD79" s="4" t="inlineStr">
        <is>
          <t>Sodium hydroxide is likely in aqueous phase, but '%' unit is ambiguous without context for percent type.; plain % interpreted as wt% with solid-solute bias</t>
        </is>
      </c>
      <c r="AE79" s="3" t="n">
        <v>2</v>
      </c>
      <c r="AF79" s="3" t="inlineStr">
        <is>
          <t>MEDIUM</t>
        </is>
      </c>
      <c r="AG79" s="3" t="b">
        <v>1</v>
      </c>
      <c r="AH79" s="3" t="inlineStr">
        <is>
          <t>PERCENT_TYPE</t>
        </is>
      </c>
    </row>
    <row r="80">
      <c r="A80" s="3" t="n">
        <v>13</v>
      </c>
      <c r="B80" s="3" t="inlineStr">
        <is>
          <t>(0.1:0.013%) N-IPAAm/MBAAm/CA/CTA-RO membrane</t>
        </is>
      </c>
      <c r="C80" s="3" t="inlineStr">
        <is>
          <t>aqueous_monomer</t>
        </is>
      </c>
      <c r="D80" s="3" t="inlineStr">
        <is>
          <t>水相单体</t>
        </is>
      </c>
      <c r="E80" s="3" t="n">
        <v>1</v>
      </c>
      <c r="F80" s="3" t="inlineStr">
        <is>
          <t>水相单体</t>
        </is>
      </c>
      <c r="G80" s="3" t="inlineStr">
        <is>
          <t>水相单体浓度</t>
        </is>
      </c>
      <c r="H80" s="3" t="inlineStr">
        <is>
          <t>水相单体浓度_单位</t>
        </is>
      </c>
      <c r="I80" s="3" t="inlineStr">
        <is>
          <t>N-IPAAm</t>
        </is>
      </c>
      <c r="J80" s="3" t="inlineStr">
        <is>
          <t>0.1</t>
        </is>
      </c>
      <c r="K80" s="3" t="inlineStr">
        <is>
          <t>%</t>
        </is>
      </c>
      <c r="L80" s="3" t="inlineStr">
        <is>
          <t>N-IPAAm</t>
        </is>
      </c>
      <c r="M80" s="3" t="inlineStr">
        <is>
          <t>0.1</t>
        </is>
      </c>
      <c r="N80" s="3" t="inlineStr">
        <is>
          <t>%</t>
        </is>
      </c>
      <c r="O80" s="3" t="inlineStr">
        <is>
          <t>aqueous</t>
        </is>
      </c>
      <c r="P80" s="3" t="inlineStr">
        <is>
          <t>column_hint</t>
        </is>
      </c>
      <c r="Q80" s="3" t="inlineStr">
        <is>
          <t>solid</t>
        </is>
      </c>
      <c r="R80" s="3" t="inlineStr">
        <is>
          <t>chemical_knowledge</t>
        </is>
      </c>
      <c r="S80" s="3" t="inlineStr">
        <is>
          <t>WT_PERCENT</t>
        </is>
      </c>
      <c r="T80" s="3" t="inlineStr">
        <is>
          <t>0.1</t>
        </is>
      </c>
      <c r="U80" s="3" t="inlineStr">
        <is>
          <t>ASSUMED_CONVERTED</t>
        </is>
      </c>
      <c r="V80" s="3" t="inlineStr">
        <is>
          <t>Unit '%' is ambiguous without context for percent type, solvent, or solute properties.; plain % interpreted as wt% with solid-solute bias</t>
        </is>
      </c>
      <c r="W80" s="3" t="inlineStr">
        <is>
          <t>N-IPAAm</t>
        </is>
      </c>
      <c r="X80" s="3" t="inlineStr">
        <is>
          <t>0.1</t>
        </is>
      </c>
      <c r="Y80" s="3" t="inlineStr">
        <is>
          <t>wt%</t>
        </is>
      </c>
      <c r="Z80" s="4" t="inlineStr">
        <is>
          <t>N-IPAAm</t>
        </is>
      </c>
      <c r="AA80" s="4" t="inlineStr">
        <is>
          <t>0.1</t>
        </is>
      </c>
      <c r="AB80" s="4" t="inlineStr">
        <is>
          <t>wt%</t>
        </is>
      </c>
      <c r="AC80" s="4" t="inlineStr">
        <is>
          <t>ASSUMED_CONVERTED</t>
        </is>
      </c>
      <c r="AD80" s="4" t="inlineStr">
        <is>
          <t>Unit '%' is ambiguous without context for percent type, solvent, or solute properties.; plain % interpreted as wt% with solid-solute bias</t>
        </is>
      </c>
      <c r="AE80" s="3" t="n">
        <v>2</v>
      </c>
      <c r="AF80" s="3" t="inlineStr">
        <is>
          <t>MEDIUM</t>
        </is>
      </c>
      <c r="AG80" s="3" t="b">
        <v>1</v>
      </c>
      <c r="AH80" s="3" t="inlineStr">
        <is>
          <t>PERCENT_TYPE; SOLVENT_TYPE; MOLECULAR_WEIGHT; DENSITY</t>
        </is>
      </c>
    </row>
    <row r="81">
      <c r="A81" s="3" t="n">
        <v>13</v>
      </c>
      <c r="B81" s="3" t="inlineStr">
        <is>
          <t>(0.1:0.013%) N-IPAAm/MBAAm/CA/CTA-RO membrane</t>
        </is>
      </c>
      <c r="C81" s="3" t="inlineStr">
        <is>
          <t>modifier</t>
        </is>
      </c>
      <c r="D81" s="3" t="inlineStr">
        <is>
          <t>改性剂</t>
        </is>
      </c>
      <c r="E81" s="3" t="n">
        <v>1</v>
      </c>
      <c r="F81" s="3" t="inlineStr">
        <is>
          <t>改性剂</t>
        </is>
      </c>
      <c r="G81" s="3" t="inlineStr">
        <is>
          <t>改性剂浓度</t>
        </is>
      </c>
      <c r="H81" s="3" t="inlineStr">
        <is>
          <t>改性剂浓度_单位</t>
        </is>
      </c>
      <c r="I81" s="3" t="inlineStr">
        <is>
          <t>N-IPAAm</t>
        </is>
      </c>
      <c r="J81" s="3" t="inlineStr">
        <is>
          <t>0.1</t>
        </is>
      </c>
      <c r="K81" s="3" t="inlineStr">
        <is>
          <t>%</t>
        </is>
      </c>
      <c r="L81" s="3" t="inlineStr">
        <is>
          <t>N-IPAAm</t>
        </is>
      </c>
      <c r="M81" s="3" t="inlineStr">
        <is>
          <t>0.1</t>
        </is>
      </c>
      <c r="N81" s="3" t="inlineStr">
        <is>
          <t>%</t>
        </is>
      </c>
      <c r="O81" s="3" t="inlineStr">
        <is>
          <t>unknown</t>
        </is>
      </c>
      <c r="P81" s="3" t="inlineStr">
        <is>
          <t>unknown</t>
        </is>
      </c>
      <c r="Q81" s="3" t="inlineStr">
        <is>
          <t>solid</t>
        </is>
      </c>
      <c r="R81" s="3" t="inlineStr">
        <is>
          <t>chemical_knowledge</t>
        </is>
      </c>
      <c r="S81" s="3" t="inlineStr">
        <is>
          <t>WT_PERCENT</t>
        </is>
      </c>
      <c r="T81" s="3" t="inlineStr">
        <is>
          <t>0.1</t>
        </is>
      </c>
      <c r="U81" s="3" t="inlineStr">
        <is>
          <t>ASSUMED_CONVERTED</t>
        </is>
      </c>
      <c r="V81" s="3" t="inlineStr">
        <is>
          <t>Modifier concentration meaning ambiguous; '%' unit unclear without solvent or phase context.; plain % interpreted as wt% with solid-solute bias</t>
        </is>
      </c>
      <c r="W81" s="3" t="inlineStr">
        <is>
          <t>N-IPAAm</t>
        </is>
      </c>
      <c r="X81" s="3" t="inlineStr">
        <is>
          <t>0.1</t>
        </is>
      </c>
      <c r="Y81" s="3" t="inlineStr">
        <is>
          <t>wt%</t>
        </is>
      </c>
      <c r="Z81" s="4" t="inlineStr">
        <is>
          <t>N-IPAAm</t>
        </is>
      </c>
      <c r="AA81" s="4" t="inlineStr">
        <is>
          <t>0.1</t>
        </is>
      </c>
      <c r="AB81" s="4" t="inlineStr">
        <is>
          <t>wt%</t>
        </is>
      </c>
      <c r="AC81" s="4" t="inlineStr">
        <is>
          <t>ASSUMED_CONVERTED</t>
        </is>
      </c>
      <c r="AD81" s="4" t="inlineStr">
        <is>
          <t>Modifier concentration meaning ambiguous; '%' unit unclear without solvent or phase context.; plain % interpreted as wt% with solid-solute bias</t>
        </is>
      </c>
      <c r="AE81" s="3" t="n">
        <v>2</v>
      </c>
      <c r="AF81" s="3" t="inlineStr">
        <is>
          <t>MEDIUM</t>
        </is>
      </c>
      <c r="AG81" s="3" t="b">
        <v>1</v>
      </c>
      <c r="AH81" s="3" t="inlineStr">
        <is>
          <t>PERCENT_TYPE; PHASE_TYPE; SOLVENT_TYPE</t>
        </is>
      </c>
    </row>
    <row r="82">
      <c r="A82" s="3" t="n">
        <v>13</v>
      </c>
      <c r="B82" s="3" t="inlineStr">
        <is>
          <t>(0.1:0.013%) N-IPAAm/MBAAm/CA/CTA-RO membrane</t>
        </is>
      </c>
      <c r="C82" s="3" t="inlineStr">
        <is>
          <t>modifier</t>
        </is>
      </c>
      <c r="D82" s="3" t="inlineStr">
        <is>
          <t>改性剂</t>
        </is>
      </c>
      <c r="E82" s="3" t="n">
        <v>2</v>
      </c>
      <c r="F82" s="3" t="inlineStr">
        <is>
          <t>改性剂</t>
        </is>
      </c>
      <c r="G82" s="3" t="inlineStr">
        <is>
          <t>改性剂浓度</t>
        </is>
      </c>
      <c r="H82" s="3" t="inlineStr">
        <is>
          <t>改性剂浓度_单位</t>
        </is>
      </c>
      <c r="I82" s="3" t="inlineStr">
        <is>
          <t>MBAAm</t>
        </is>
      </c>
      <c r="J82" s="3" t="inlineStr">
        <is>
          <t>0.013</t>
        </is>
      </c>
      <c r="K82" s="3" t="inlineStr">
        <is>
          <t>%</t>
        </is>
      </c>
      <c r="L82" s="3" t="inlineStr">
        <is>
          <t>MBAAm</t>
        </is>
      </c>
      <c r="M82" s="3" t="inlineStr">
        <is>
          <t>0.013</t>
        </is>
      </c>
      <c r="N82" s="3" t="inlineStr">
        <is>
          <t>%</t>
        </is>
      </c>
      <c r="O82" s="3" t="inlineStr">
        <is>
          <t>unknown</t>
        </is>
      </c>
      <c r="P82" s="3" t="inlineStr">
        <is>
          <t>unknown</t>
        </is>
      </c>
      <c r="Q82" s="3" t="inlineStr">
        <is>
          <t>solid</t>
        </is>
      </c>
      <c r="R82" s="3" t="inlineStr">
        <is>
          <t>chemical_knowledge</t>
        </is>
      </c>
      <c r="S82" s="3" t="inlineStr">
        <is>
          <t>WT_PERCENT</t>
        </is>
      </c>
      <c r="T82" s="3" t="inlineStr">
        <is>
          <t>0.013</t>
        </is>
      </c>
      <c r="U82" s="3" t="inlineStr">
        <is>
          <t>ASSUMED_CONVERTED</t>
        </is>
      </c>
      <c r="V82" s="3" t="inlineStr">
        <is>
          <t>Modifier MBAAm with unit '%' only; insufficient context to determine phase, solvent, or percent type.; plain % interpreted as wt% with solid-solute bias</t>
        </is>
      </c>
      <c r="W82" s="3" t="inlineStr">
        <is>
          <t>MBAAm</t>
        </is>
      </c>
      <c r="X82" s="3" t="inlineStr">
        <is>
          <t>0.013</t>
        </is>
      </c>
      <c r="Y82" s="3" t="inlineStr">
        <is>
          <t>wt%</t>
        </is>
      </c>
      <c r="Z82" s="4" t="inlineStr">
        <is>
          <t>MBAAm</t>
        </is>
      </c>
      <c r="AA82" s="4" t="inlineStr">
        <is>
          <t>0.013</t>
        </is>
      </c>
      <c r="AB82" s="4" t="inlineStr">
        <is>
          <t>wt%</t>
        </is>
      </c>
      <c r="AC82" s="4" t="inlineStr">
        <is>
          <t>ASSUMED_CONVERTED</t>
        </is>
      </c>
      <c r="AD82" s="4" t="inlineStr">
        <is>
          <t>Modifier MBAAm with unit '%' only; insufficient context to determine phase, solvent, or percent type.; plain % interpreted as wt% with solid-solute bias</t>
        </is>
      </c>
      <c r="AE82" s="3" t="n">
        <v>2</v>
      </c>
      <c r="AF82" s="3" t="inlineStr">
        <is>
          <t>MEDIUM</t>
        </is>
      </c>
      <c r="AG82" s="3" t="b">
        <v>1</v>
      </c>
      <c r="AH82" s="3" t="inlineStr">
        <is>
          <t>PHASE_TYPE; PERCENT_TYPE; SOLVENT_TYPE</t>
        </is>
      </c>
    </row>
    <row r="83">
      <c r="A83" s="3" t="n">
        <v>13</v>
      </c>
      <c r="B83" s="3" t="inlineStr">
        <is>
          <t>(0.1:0.013%) N-IPAAm/MBAAm/CA/CTA-RO membrane</t>
        </is>
      </c>
      <c r="C83" s="3" t="inlineStr">
        <is>
          <t>organic_monomer</t>
        </is>
      </c>
      <c r="D83" s="3" t="inlineStr">
        <is>
          <t>油相单体</t>
        </is>
      </c>
      <c r="E83" s="3" t="n">
        <v>1</v>
      </c>
      <c r="F83" s="3" t="inlineStr">
        <is>
          <t>油相单体</t>
        </is>
      </c>
      <c r="G83" s="3" t="inlineStr">
        <is>
          <t>油相单体浓度</t>
        </is>
      </c>
      <c r="H83" s="3" t="inlineStr">
        <is>
          <t>油相单体浓度_单位</t>
        </is>
      </c>
      <c r="I83" s="3" t="inlineStr">
        <is>
          <t>MBAAm</t>
        </is>
      </c>
      <c r="J83" s="3" t="inlineStr">
        <is>
          <t>0.013</t>
        </is>
      </c>
      <c r="K83" s="3" t="inlineStr">
        <is>
          <t>%</t>
        </is>
      </c>
      <c r="L83" s="3" t="inlineStr">
        <is>
          <t>MBAAm</t>
        </is>
      </c>
      <c r="M83" s="3" t="inlineStr">
        <is>
          <t>0.013</t>
        </is>
      </c>
      <c r="N83" s="3" t="inlineStr">
        <is>
          <t>%</t>
        </is>
      </c>
      <c r="O83" s="3" t="inlineStr">
        <is>
          <t>organic</t>
        </is>
      </c>
      <c r="P83" s="3" t="inlineStr">
        <is>
          <t>column_hint</t>
        </is>
      </c>
      <c r="Q83" s="3" t="inlineStr">
        <is>
          <t>solid</t>
        </is>
      </c>
      <c r="R83" s="3" t="inlineStr">
        <is>
          <t>chemical_knowledge</t>
        </is>
      </c>
      <c r="S83" s="3" t="inlineStr">
        <is>
          <t>WT_PERCENT</t>
        </is>
      </c>
      <c r="T83" s="3" t="inlineStr">
        <is>
          <t>0.013</t>
        </is>
      </c>
      <c r="U83" s="3" t="inlineStr">
        <is>
          <t>ASSUMED_CONVERTED</t>
        </is>
      </c>
      <c r="V83" s="3" t="inlineStr">
        <is>
          <t>Unit '%' is ambiguous without context for percent type, solvent, or solute properties.; plain % interpreted as wt% with solid-solute bias</t>
        </is>
      </c>
      <c r="W83" s="3" t="inlineStr">
        <is>
          <t>MBAAm</t>
        </is>
      </c>
      <c r="X83" s="3" t="inlineStr">
        <is>
          <t>0.013</t>
        </is>
      </c>
      <c r="Y83" s="3" t="inlineStr">
        <is>
          <t>wt%</t>
        </is>
      </c>
      <c r="Z83" s="4" t="inlineStr">
        <is>
          <t>MBAAm</t>
        </is>
      </c>
      <c r="AA83" s="4" t="inlineStr">
        <is>
          <t>0.013</t>
        </is>
      </c>
      <c r="AB83" s="4" t="inlineStr">
        <is>
          <t>wt%</t>
        </is>
      </c>
      <c r="AC83" s="4" t="inlineStr">
        <is>
          <t>ASSUMED_CONVERTED</t>
        </is>
      </c>
      <c r="AD83" s="4" t="inlineStr">
        <is>
          <t>Unit '%' is ambiguous without context for percent type, solvent, or solute properties.; plain % interpreted as wt% with solid-solute bias</t>
        </is>
      </c>
      <c r="AE83" s="3" t="n">
        <v>2</v>
      </c>
      <c r="AF83" s="3" t="inlineStr">
        <is>
          <t>MEDIUM</t>
        </is>
      </c>
      <c r="AG83" s="3" t="b">
        <v>1</v>
      </c>
      <c r="AH83" s="3" t="inlineStr">
        <is>
          <t>PERCENT_TYPE; SOLVENT_TYPE; MOLECULAR_WEIGHT; DENSITY</t>
        </is>
      </c>
    </row>
    <row r="84">
      <c r="A84" s="5" t="n">
        <v>13</v>
      </c>
      <c r="B84" s="5" t="inlineStr">
        <is>
          <t>(0.1:0.013%) N-IPAAm/MBAAm/CA/CTA-RO membrane</t>
        </is>
      </c>
      <c r="C84" s="5" t="inlineStr">
        <is>
          <t>test_nacl</t>
        </is>
      </c>
      <c r="D84" s="5" t="inlineStr">
        <is>
          <t>测试NaCl</t>
        </is>
      </c>
      <c r="E84" s="5" t="n">
        <v>1</v>
      </c>
      <c r="F84" s="5" t="inlineStr"/>
      <c r="G84" s="5" t="inlineStr">
        <is>
          <t>测试NaCl浓度</t>
        </is>
      </c>
      <c r="H84" s="5" t="inlineStr">
        <is>
          <t>测试NaCl浓度_单位</t>
        </is>
      </c>
      <c r="I84" s="5" t="inlineStr">
        <is>
          <t>NaCl</t>
        </is>
      </c>
      <c r="J84" s="5" t="inlineStr">
        <is>
          <t>10000.0</t>
        </is>
      </c>
      <c r="K84" s="5" t="inlineStr">
        <is>
          <t>ppm</t>
        </is>
      </c>
      <c r="L84" s="5" t="inlineStr">
        <is>
          <t>NaCl</t>
        </is>
      </c>
      <c r="M84" s="5" t="inlineStr">
        <is>
          <t>10000</t>
        </is>
      </c>
      <c r="N84" s="5" t="inlineStr">
        <is>
          <t>ppm</t>
        </is>
      </c>
      <c r="O84" s="5" t="inlineStr">
        <is>
          <t>test_aqueous</t>
        </is>
      </c>
      <c r="P84" s="5" t="inlineStr">
        <is>
          <t>column_hint</t>
        </is>
      </c>
      <c r="Q84" s="5" t="inlineStr">
        <is>
          <t>solid</t>
        </is>
      </c>
      <c r="R84" s="5" t="inlineStr">
        <is>
          <t>chemical_knowledge</t>
        </is>
      </c>
      <c r="S84" s="5" t="inlineStr">
        <is>
          <t>NOT_PERCENT_UNIT</t>
        </is>
      </c>
      <c r="T84" s="5" t="inlineStr">
        <is>
          <t>1</t>
        </is>
      </c>
      <c r="U84" s="5" t="inlineStr">
        <is>
          <t>SAFE_CONVERTED</t>
        </is>
      </c>
      <c r="V84" s="5" t="inlineStr">
        <is>
          <t>NaCl concentration in ppm is clearly defined and can be safely converted to wt% for aqueous solutions.</t>
        </is>
      </c>
      <c r="W84" s="5" t="inlineStr">
        <is>
          <t>NaCl</t>
        </is>
      </c>
      <c r="X84" s="5" t="inlineStr">
        <is>
          <t>1</t>
        </is>
      </c>
      <c r="Y84" s="5" t="inlineStr">
        <is>
          <t>wt%</t>
        </is>
      </c>
      <c r="Z84" s="4" t="inlineStr">
        <is>
          <t>NaCl</t>
        </is>
      </c>
      <c r="AA84" s="4" t="inlineStr">
        <is>
          <t>1</t>
        </is>
      </c>
      <c r="AB84" s="4" t="inlineStr">
        <is>
          <t>wt%</t>
        </is>
      </c>
      <c r="AC84" s="4" t="inlineStr">
        <is>
          <t>SAFE_CONVERTED</t>
        </is>
      </c>
      <c r="AD84" s="4" t="inlineStr">
        <is>
          <t>NaCl concentration in ppm is clearly defined and can be safely converted to wt% for aqueous solutions.</t>
        </is>
      </c>
      <c r="AE84" s="5" t="n">
        <v>0</v>
      </c>
      <c r="AF84" s="5" t="inlineStr">
        <is>
          <t>HIGH</t>
        </is>
      </c>
      <c r="AG84" s="5" t="b">
        <v>0</v>
      </c>
      <c r="AH8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14</v>
      </c>
    </row>
    <row r="3">
      <c r="A3" t="inlineStr">
        <is>
          <t>total_slot_items</t>
        </is>
      </c>
      <c r="B3" t="n">
        <v>83</v>
      </c>
    </row>
    <row r="4">
      <c r="A4" t="inlineStr">
        <is>
          <t>wtpercent_status__ASSUMED_CONVERTED</t>
        </is>
      </c>
      <c r="B4" t="n">
        <v>6</v>
      </c>
    </row>
    <row r="5">
      <c r="A5" t="inlineStr">
        <is>
          <t>wtpercent_status__CANNOT_CONVERT</t>
        </is>
      </c>
      <c r="B5" t="n">
        <v>31</v>
      </c>
    </row>
    <row r="6">
      <c r="A6" t="inlineStr">
        <is>
          <t>wtpercent_status__DIRECT_WT</t>
        </is>
      </c>
      <c r="B6" t="n">
        <v>18</v>
      </c>
    </row>
    <row r="7">
      <c r="A7" t="inlineStr">
        <is>
          <t>wtpercent_status__FAILED_PARSE</t>
        </is>
      </c>
      <c r="B7" t="n">
        <v>15</v>
      </c>
    </row>
    <row r="8">
      <c r="A8" t="inlineStr">
        <is>
          <t>wtpercent_status__NEED_TRACEBACK</t>
        </is>
      </c>
      <c r="B8" t="n">
        <v>1</v>
      </c>
    </row>
    <row r="9">
      <c r="A9" t="inlineStr">
        <is>
          <t>wtpercent_status__SAFE_CONVERTED</t>
        </is>
      </c>
      <c r="B9" t="n">
        <v>12</v>
      </c>
    </row>
    <row r="10">
      <c r="A10" t="inlineStr">
        <is>
          <t>parse_status__EMPTY_ALL</t>
        </is>
      </c>
      <c r="B10" t="n">
        <v>14</v>
      </c>
    </row>
    <row r="11">
      <c r="A11" t="inlineStr">
        <is>
          <t>parse_status__EMPTY_SOLUTE</t>
        </is>
      </c>
      <c r="B11" t="n">
        <v>0</v>
      </c>
    </row>
    <row r="12">
      <c r="A12" t="inlineStr">
        <is>
          <t>parse_status__EMPTY_UNIT</t>
        </is>
      </c>
      <c r="B12" t="n">
        <v>0</v>
      </c>
    </row>
    <row r="13">
      <c r="A13" t="inlineStr">
        <is>
          <t>parse_status__EMPTY_VALUE</t>
        </is>
      </c>
      <c r="B13" t="n">
        <v>1</v>
      </c>
    </row>
    <row r="14">
      <c r="A14" t="inlineStr">
        <is>
          <t>parse_status__MULTI_COUNT_MISMATCH</t>
        </is>
      </c>
      <c r="B14" t="n">
        <v>0</v>
      </c>
    </row>
    <row r="15">
      <c r="A15" t="inlineStr">
        <is>
          <t>parse_status__NON_NUMERIC_VALUE</t>
        </is>
      </c>
      <c r="B15" t="n">
        <v>0</v>
      </c>
    </row>
    <row r="16">
      <c r="A16" t="inlineStr">
        <is>
          <t>parse_status__OK</t>
        </is>
      </c>
      <c r="B16" t="n">
        <v>68</v>
      </c>
    </row>
    <row r="17">
      <c r="A17" t="inlineStr">
        <is>
          <t>parse_status__UNSUPPORTED_FORMAT</t>
        </is>
      </c>
      <c r="B17" t="n">
        <v>0</v>
      </c>
    </row>
    <row r="18">
      <c r="A18" t="inlineStr">
        <is>
          <t>physical_form__liquid</t>
        </is>
      </c>
      <c r="B18" t="n">
        <v>8</v>
      </c>
    </row>
    <row r="19">
      <c r="A19" t="inlineStr">
        <is>
          <t>physical_form__solid</t>
        </is>
      </c>
      <c r="B19" t="n">
        <v>52</v>
      </c>
    </row>
    <row r="20">
      <c r="A20" t="inlineStr">
        <is>
          <t>physical_form__unknown</t>
        </is>
      </c>
      <c r="B20" t="n">
        <v>23</v>
      </c>
    </row>
    <row r="21">
      <c r="A21" t="inlineStr">
        <is>
          <t>review_rows</t>
        </is>
      </c>
      <c r="B2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2026-03-11T08:33:15Z</dcterms:created>
  <dcterms:modified xsi:type="dcterms:W3CDTF">2026-03-11T08:33:15Z</dcterms:modified>
</cp:coreProperties>
</file>